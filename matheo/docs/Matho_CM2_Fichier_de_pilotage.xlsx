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au de bord" sheetId="1" state="visible" r:id="rId3"/>
    <sheet name="Lisez-moi" sheetId="2" state="visible" r:id="rId4"/>
    <sheet name="Notions" sheetId="3" state="visible" r:id="rId5"/>
    <sheet name="Livrables" sheetId="4" state="visible" r:id="rId6"/>
    <sheet name="Phasage" sheetId="5" state="visible" r:id="rId7"/>
    <sheet name="Journal" sheetId="6" state="visible" r:id="rId8"/>
    <sheet name="Budget API" sheetId="7" state="visible" r:id="rId9"/>
    <sheet name="Paramètres" sheetId="8" state="visible" r:id="rId10"/>
    <sheet name="Revue documentaire" sheetId="9" state="visible" r:id="rId11"/>
    <sheet name="Principes de conception" sheetId="10" state="visible" r:id="rId12"/>
    <sheet name="Budget exploitation" sheetId="11" state="visible" r:id="rId13"/>
  </sheets>
  <definedNames>
    <definedName function="false" hidden="true" localSheetId="2" name="_xlnm._FilterDatabase" vbProcedure="false">Notions!$A$1:$U$69</definedName>
    <definedName function="false" hidden="true" localSheetId="8" name="_xlnm._FilterDatabase" vbProcedure="false">'Revue documentaire'!$A$4:$K$29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<sst xmlns="http://schemas.openxmlformats.org/spreadsheetml/2006/main" count="2023" uniqueCount="698">
  <si>
    <t xml:space="preserve">MATHO CM2 – TABLEAU DE BORD DU PROJET</t>
  </si>
  <si>
    <t xml:space="preserve">Tous les chiffres se calculent automatiquement à partir des feuilles « Notions », « Livrables » et « Phasage ».</t>
  </si>
  <si>
    <t xml:space="preserve">Notions au référentiel</t>
  </si>
  <si>
    <t xml:space="preserve">Avancement global (production)</t>
  </si>
  <si>
    <t xml:space="preserve">Notions terminées</t>
  </si>
  <si>
    <t xml:space="preserve">Notions en cours</t>
  </si>
  <si>
    <t xml:space="preserve">Notions non démarrées</t>
  </si>
  <si>
    <t xml:space="preserve">Fiches validées par des enseignants</t>
  </si>
  <si>
    <t xml:space="preserve">Budget API consommé</t>
  </si>
  <si>
    <t xml:space="preserve">AVANCEMENT PAR DOMAINE</t>
  </si>
  <si>
    <t xml:space="preserve">Domaine</t>
  </si>
  <si>
    <t xml:space="preserve">Nb notions</t>
  </si>
  <si>
    <t xml:space="preserve">Avancement moyen</t>
  </si>
  <si>
    <t xml:space="preserve">Terminées</t>
  </si>
  <si>
    <t xml:space="preserve">D1 – Numération</t>
  </si>
  <si>
    <t xml:space="preserve">D2 – Nombres décimaux</t>
  </si>
  <si>
    <t xml:space="preserve">D3 – Calcul</t>
  </si>
  <si>
    <t xml:space="preserve">D4 – Fractions</t>
  </si>
  <si>
    <t xml:space="preserve">D5 – Proportionnalité</t>
  </si>
  <si>
    <t xml:space="preserve">D6 – Grandeurs et mesures</t>
  </si>
  <si>
    <t xml:space="preserve">D7 – Géométrie plane</t>
  </si>
  <si>
    <t xml:space="preserve">D8 – Périmètres et aires</t>
  </si>
  <si>
    <t xml:space="preserve">D9 – Géométrie dans l’espace</t>
  </si>
  <si>
    <t xml:space="preserve">D10 – Échelles et agrandissements</t>
  </si>
  <si>
    <t xml:space="preserve">D11 – Résolution de problèmes</t>
  </si>
  <si>
    <t xml:space="preserve">AVANCEMENT PAR VAGUE</t>
  </si>
  <si>
    <t xml:space="preserve">Vague</t>
  </si>
  <si>
    <t xml:space="preserve">V0 – Pilote</t>
  </si>
  <si>
    <t xml:space="preserve">MVP</t>
  </si>
  <si>
    <t xml:space="preserve">V1</t>
  </si>
  <si>
    <t xml:space="preserve">V2</t>
  </si>
  <si>
    <t xml:space="preserve">V3</t>
  </si>
  <si>
    <t xml:space="preserve">V4</t>
  </si>
  <si>
    <t xml:space="preserve">STATUT PAR TYPE DE LIVRABLE (68 notions)</t>
  </si>
  <si>
    <t xml:space="preserve">Livrable</t>
  </si>
  <si>
    <t xml:space="preserve">À faire</t>
  </si>
  <si>
    <t xml:space="preserve">En cours</t>
  </si>
  <si>
    <t xml:space="preserve">À valider</t>
  </si>
  <si>
    <t xml:space="preserve">Validé</t>
  </si>
  <si>
    <t xml:space="preserve">% validé</t>
  </si>
  <si>
    <t xml:space="preserve">Fiche de conception (doc maître)</t>
  </si>
  <si>
    <t xml:space="preserve">Validation référentiel (enseignants)</t>
  </si>
  <si>
    <t xml:space="preserve">Leçon rédigée (12 étapes)</t>
  </si>
  <si>
    <t xml:space="preserve">Script vidéo</t>
  </si>
  <si>
    <t xml:space="preserve">BD</t>
  </si>
  <si>
    <t xml:space="preserve">Jeu / manipulation</t>
  </si>
  <si>
    <t xml:space="preserve">Exercices A–E</t>
  </si>
  <si>
    <t xml:space="preserve">Problèmes P1–P4</t>
  </si>
  <si>
    <t xml:space="preserve">QCM CEP</t>
  </si>
  <si>
    <t xml:space="preserve">Corrections &amp; remédiation</t>
  </si>
  <si>
    <t xml:space="preserve">Contrôle qualité (maths + test enfant)</t>
  </si>
  <si>
    <t xml:space="preserve">JALONS DU PROJET (feuille Phasage)</t>
  </si>
  <si>
    <t xml:space="preserve">Indicateur</t>
  </si>
  <si>
    <t xml:space="preserve">Valeur</t>
  </si>
  <si>
    <t xml:space="preserve">Phases terminées</t>
  </si>
  <si>
    <t xml:space="preserve">Phases en cours</t>
  </si>
  <si>
    <t xml:space="preserve">Livrables finaux validés</t>
  </si>
  <si>
    <t xml:space="preserve">Actions ouvertes (Journal)</t>
  </si>
  <si>
    <t xml:space="preserve">Questions ouvertes (Journal)</t>
  </si>
  <si>
    <t xml:space="preserve">FICHIER DE PILOTAGE – MATHO CM2</t>
  </si>
  <si>
    <t xml:space="preserve">Source : Projet_Matho_CM2_Benin_Document_Maitre.docx (version 1.0, septembre 2026).</t>
  </si>
  <si>
    <t xml:space="preserve">COMMENT L’UTILISER</t>
  </si>
  <si>
    <t xml:space="preserve">1. Les cellules à fond jaune et texte bleu sont à modifier (statuts, responsables, dates, notes). Les autres cellules sont des formules : ne les écrasez pas.</t>
  </si>
  <si>
    <t xml:space="preserve">2. Feuille « Notions » : une ligne par notion, 11 livrables suivis. Choisissez un statut dans la liste : À faire, En cours, À valider, Validé.</t>
  </si>
  <si>
    <t xml:space="preserve">3. L’avancement % et l’état global se calculent tout seuls, avec les poids de la feuille « Paramètres ».</t>
  </si>
  <si>
    <t xml:space="preserve">4. Feuille « Tableau de bord » : synthèse globale, par domaine, par vague et par livrable.</t>
  </si>
  <si>
    <t xml:space="preserve">5b. Feuille « Budget API » : suivi des dépenses Claude (budget de 10 € au total), avec seuils d’alerte et statut affiché sur le tableau de bord.</t>
  </si>
  <si>
    <t xml:space="preserve">5c. Feuilles « Revue documentaire » et « Principes de conception » : sources de recherche et règles de conception qui en découlent.</t>
  </si>
  <si>
    <t xml:space="preserve">5. Feuilles « Livrables », « Phasage » et « Journal » : suivi des livrables finaux, des 12 phases, des décisions, actions et questions ouvertes.</t>
  </si>
  <si>
    <t xml:space="preserve">PROTOCOLE DE SESSION AVEC CLAUDE</t>
  </si>
  <si>
    <t xml:space="preserve">Claude ne garde pas la mémoire d’une conversation à l’autre. Au début de chaque session : envoyez ce fichier à jour et indiquez l’objectif de la session (par exemple « produire la leçon N22 »). À la fin de la session, demandez une mise à jour du fichier.</t>
  </si>
  <si>
    <t xml:space="preserve">POINTS D’ATTENTION</t>
  </si>
  <si>
    <t xml:space="preserve">• Le référentiel de 68 notions est une proposition de travail : la colonne « Validation référentiel (enseignants) » doit passer à Validé avant toute publication.</t>
  </si>
  <si>
    <t xml:space="preserve">• Statut initial : les 68 fiches de conception du document maître sont « À valider ». N22 est notion pilote (leçon et BD « En cours »).</t>
  </si>
  <si>
    <t xml:space="preserve">• Le découpage en vagues (V0 à V4) est une hypothèse de l’assistant, modifiable dans la colonne « Vague ».</t>
  </si>
  <si>
    <t xml:space="preserve">Code</t>
  </si>
  <si>
    <t xml:space="preserve">Notion</t>
  </si>
  <si>
    <t xml:space="preserve">Prérequis (doc maître)</t>
  </si>
  <si>
    <t xml:space="preserve">Avancement %</t>
  </si>
  <si>
    <t xml:space="preserve">État global</t>
  </si>
  <si>
    <t xml:space="preserve">Responsable</t>
  </si>
  <si>
    <t xml:space="preserve">Dernière MAJ</t>
  </si>
  <si>
    <t xml:space="preserve">Notes</t>
  </si>
  <si>
    <t xml:space="preserve">N01</t>
  </si>
  <si>
    <t xml:space="preserve">Lire et écrire les grands nombres</t>
  </si>
  <si>
    <t xml:space="preserve">valeur de position; lecture des nombres usuels</t>
  </si>
  <si>
    <t xml:space="preserve">N02</t>
  </si>
  <si>
    <t xml:space="preserve">Comparer et ranger les nombres</t>
  </si>
  <si>
    <t xml:space="preserve">N03</t>
  </si>
  <si>
    <t xml:space="preserve">Décomposer et recomposer les nombres</t>
  </si>
  <si>
    <t xml:space="preserve">N04</t>
  </si>
  <si>
    <t xml:space="preserve">Comprendre les nombres décimaux</t>
  </si>
  <si>
    <t xml:space="preserve">numération entière; valeur de position</t>
  </si>
  <si>
    <t xml:space="preserve">N05</t>
  </si>
  <si>
    <t xml:space="preserve">Lire et écrire les nombres décimaux</t>
  </si>
  <si>
    <t xml:space="preserve">N06</t>
  </si>
  <si>
    <t xml:space="preserve">Comparer les nombres décimaux</t>
  </si>
  <si>
    <t xml:space="preserve">N07</t>
  </si>
  <si>
    <t xml:space="preserve">Ranger les nombres décimaux</t>
  </si>
  <si>
    <t xml:space="preserve">N08</t>
  </si>
  <si>
    <t xml:space="preserve">Additionner des entiers</t>
  </si>
  <si>
    <t xml:space="preserve">numération; tables de multiplication; sens des quatre opérations</t>
  </si>
  <si>
    <t xml:space="preserve">N09</t>
  </si>
  <si>
    <t xml:space="preserve">Soustraire des entiers</t>
  </si>
  <si>
    <t xml:space="preserve">N10</t>
  </si>
  <si>
    <t xml:space="preserve">Multiplier des entiers</t>
  </si>
  <si>
    <t xml:space="preserve">N11</t>
  </si>
  <si>
    <t xml:space="preserve">Diviser des entiers</t>
  </si>
  <si>
    <t xml:space="preserve">N12</t>
  </si>
  <si>
    <t xml:space="preserve">Additionner des décimaux</t>
  </si>
  <si>
    <t xml:space="preserve">N13</t>
  </si>
  <si>
    <t xml:space="preserve">Soustraire des décimaux</t>
  </si>
  <si>
    <t xml:space="preserve">N14</t>
  </si>
  <si>
    <t xml:space="preserve">Multiplier avec des décimaux</t>
  </si>
  <si>
    <t xml:space="preserve">N15</t>
  </si>
  <si>
    <t xml:space="preserve">Diviser avec des décimaux</t>
  </si>
  <si>
    <t xml:space="preserve">N16</t>
  </si>
  <si>
    <t xml:space="preserve">Calcul mental</t>
  </si>
  <si>
    <t xml:space="preserve">N17</t>
  </si>
  <si>
    <t xml:space="preserve">Comprendre une fraction</t>
  </si>
  <si>
    <t xml:space="preserve">partage en parts égales; division simple</t>
  </si>
  <si>
    <t xml:space="preserve">N18</t>
  </si>
  <si>
    <t xml:space="preserve">Représenter une fraction</t>
  </si>
  <si>
    <t xml:space="preserve">N19</t>
  </si>
  <si>
    <t xml:space="preserve">Lire et écrire une fraction</t>
  </si>
  <si>
    <t xml:space="preserve">N20</t>
  </si>
  <si>
    <t xml:space="preserve">Comparer des fractions</t>
  </si>
  <si>
    <t xml:space="preserve">N21</t>
  </si>
  <si>
    <t xml:space="preserve">Fractions équivalentes</t>
  </si>
  <si>
    <t xml:space="preserve">N22</t>
  </si>
  <si>
    <t xml:space="preserve">Prendre une fraction d’une quantité</t>
  </si>
  <si>
    <t xml:space="preserve">2026-09-29</t>
  </si>
  <si>
    <t xml:space="preserve">Notion pilote. Scénario pilote v0.1 rédigé (mission, défi, vidéo, BD, textes de Mathéo, quiz, boss) : à valider par un enseignant et à tester avec des enfants.</t>
  </si>
  <si>
    <t xml:space="preserve">N23</t>
  </si>
  <si>
    <t xml:space="preserve">Résoudre des problèmes avec des fractions</t>
  </si>
  <si>
    <t xml:space="preserve">N24</t>
  </si>
  <si>
    <t xml:space="preserve">Reconnaître une situation proportionnelle</t>
  </si>
  <si>
    <t xml:space="preserve">multiplication et division; fractions simples</t>
  </si>
  <si>
    <t xml:space="preserve">N25</t>
  </si>
  <si>
    <t xml:space="preserve">Tableau de proportionnalité</t>
  </si>
  <si>
    <t xml:space="preserve">N26</t>
  </si>
  <si>
    <t xml:space="preserve">Règle de trois</t>
  </si>
  <si>
    <t xml:space="preserve">N27</t>
  </si>
  <si>
    <t xml:space="preserve">Partages proportionnels</t>
  </si>
  <si>
    <t xml:space="preserve">N28</t>
  </si>
  <si>
    <t xml:space="preserve">Pourcentages</t>
  </si>
  <si>
    <t xml:space="preserve">N29</t>
  </si>
  <si>
    <t xml:space="preserve">Augmentations et réductions</t>
  </si>
  <si>
    <t xml:space="preserve">N30</t>
  </si>
  <si>
    <t xml:space="preserve">Problèmes de proportionnalité</t>
  </si>
  <si>
    <t xml:space="preserve">N31</t>
  </si>
  <si>
    <t xml:space="preserve">Longueurs</t>
  </si>
  <si>
    <t xml:space="preserve">lecture des unités; comparaison de grandeurs</t>
  </si>
  <si>
    <t xml:space="preserve">N32</t>
  </si>
  <si>
    <t xml:space="preserve">Conversion des longueurs</t>
  </si>
  <si>
    <t xml:space="preserve">N33</t>
  </si>
  <si>
    <t xml:space="preserve">Calculs avec les longueurs</t>
  </si>
  <si>
    <t xml:space="preserve">N34</t>
  </si>
  <si>
    <t xml:space="preserve">Masses</t>
  </si>
  <si>
    <t xml:space="preserve">N35</t>
  </si>
  <si>
    <t xml:space="preserve">Conversion des masses</t>
  </si>
  <si>
    <t xml:space="preserve">N36</t>
  </si>
  <si>
    <t xml:space="preserve">Capacités</t>
  </si>
  <si>
    <t xml:space="preserve">N37</t>
  </si>
  <si>
    <t xml:space="preserve">Conversion des capacités</t>
  </si>
  <si>
    <t xml:space="preserve">N38</t>
  </si>
  <si>
    <t xml:space="preserve">Temps</t>
  </si>
  <si>
    <t xml:space="preserve">N39</t>
  </si>
  <si>
    <t xml:space="preserve">Durées</t>
  </si>
  <si>
    <t xml:space="preserve">N40</t>
  </si>
  <si>
    <t xml:space="preserve">Points, droites et segments</t>
  </si>
  <si>
    <t xml:space="preserve">vocabulaire spatial; usage d’une règle et d’une équerre</t>
  </si>
  <si>
    <t xml:space="preserve">N41</t>
  </si>
  <si>
    <t xml:space="preserve">Parallèles et perpendiculaires</t>
  </si>
  <si>
    <t xml:space="preserve">N42</t>
  </si>
  <si>
    <t xml:space="preserve">Angles</t>
  </si>
  <si>
    <t xml:space="preserve">N43</t>
  </si>
  <si>
    <t xml:space="preserve">Triangles</t>
  </si>
  <si>
    <t xml:space="preserve">N44</t>
  </si>
  <si>
    <t xml:space="preserve">Quadrilatères</t>
  </si>
  <si>
    <t xml:space="preserve">N45</t>
  </si>
  <si>
    <t xml:space="preserve">Cercle</t>
  </si>
  <si>
    <t xml:space="preserve">N46</t>
  </si>
  <si>
    <t xml:space="preserve">Symétrie</t>
  </si>
  <si>
    <t xml:space="preserve">N47</t>
  </si>
  <si>
    <t xml:space="preserve">Comprendre le périmètre</t>
  </si>
  <si>
    <t xml:space="preserve">mesures de longueur; multiplication simple</t>
  </si>
  <si>
    <t xml:space="preserve">N48</t>
  </si>
  <si>
    <t xml:space="preserve">Périmètre du carré</t>
  </si>
  <si>
    <t xml:space="preserve">N49</t>
  </si>
  <si>
    <t xml:space="preserve">Périmètre du rectangle</t>
  </si>
  <si>
    <t xml:space="preserve">N50</t>
  </si>
  <si>
    <t xml:space="preserve">Périmètre de figures usuelles</t>
  </si>
  <si>
    <t xml:space="preserve">N51</t>
  </si>
  <si>
    <t xml:space="preserve">Comprendre l’aire</t>
  </si>
  <si>
    <t xml:space="preserve">N52</t>
  </si>
  <si>
    <t xml:space="preserve">Aire du rectangle</t>
  </si>
  <si>
    <t xml:space="preserve">N53</t>
  </si>
  <si>
    <t xml:space="preserve">Aire du carré</t>
  </si>
  <si>
    <t xml:space="preserve">N54</t>
  </si>
  <si>
    <t xml:space="preserve">Unités d’aire</t>
  </si>
  <si>
    <t xml:space="preserve">N55</t>
  </si>
  <si>
    <t xml:space="preserve">Reconnaître les solides</t>
  </si>
  <si>
    <t xml:space="preserve">formes géométriques; observation de modèles</t>
  </si>
  <si>
    <t xml:space="preserve">N56</t>
  </si>
  <si>
    <t xml:space="preserve">Faces, arêtes et sommets</t>
  </si>
  <si>
    <t xml:space="preserve">N57</t>
  </si>
  <si>
    <t xml:space="preserve">Patrons de solides</t>
  </si>
  <si>
    <t xml:space="preserve">N58</t>
  </si>
  <si>
    <t xml:space="preserve">Comprendre une échelle</t>
  </si>
  <si>
    <t xml:space="preserve">proportionnalité simple; multiplication/division</t>
  </si>
  <si>
    <t xml:space="preserve">N59</t>
  </si>
  <si>
    <t xml:space="preserve">Agrandissement</t>
  </si>
  <si>
    <t xml:space="preserve">N60</t>
  </si>
  <si>
    <t xml:space="preserve">Réduction</t>
  </si>
  <si>
    <t xml:space="preserve">N61</t>
  </si>
  <si>
    <t xml:space="preserve">Problèmes d’échelle</t>
  </si>
  <si>
    <t xml:space="preserve">N62</t>
  </si>
  <si>
    <t xml:space="preserve">Repérer les données utiles</t>
  </si>
  <si>
    <t xml:space="preserve">lecture de consignes; opérations étudiées</t>
  </si>
  <si>
    <t xml:space="preserve">N63</t>
  </si>
  <si>
    <t xml:space="preserve">Identifier ce qu’on cherche</t>
  </si>
  <si>
    <t xml:space="preserve">N64</t>
  </si>
  <si>
    <t xml:space="preserve">Choisir l’opération</t>
  </si>
  <si>
    <t xml:space="preserve">N65</t>
  </si>
  <si>
    <t xml:space="preserve">Organiser plusieurs étapes</t>
  </si>
  <si>
    <t xml:space="preserve">N66</t>
  </si>
  <si>
    <t xml:space="preserve">Vérifier la cohérence</t>
  </si>
  <si>
    <t xml:space="preserve">N67</t>
  </si>
  <si>
    <t xml:space="preserve">Rédiger la réponse</t>
  </si>
  <si>
    <t xml:space="preserve">N68</t>
  </si>
  <si>
    <t xml:space="preserve">Résoudre un problème à plusieurs opérations</t>
  </si>
  <si>
    <t xml:space="preserve">Livrable (section 24 du doc maître)</t>
  </si>
  <si>
    <t xml:space="preserve">Phase</t>
  </si>
  <si>
    <t xml:space="preserve">Type</t>
  </si>
  <si>
    <t xml:space="preserve">Statut</t>
  </si>
  <si>
    <t xml:space="preserve">Échéance</t>
  </si>
  <si>
    <t xml:space="preserve">Référentiel CM2 structuré et validé</t>
  </si>
  <si>
    <t xml:space="preserve">1 – Référentiel</t>
  </si>
  <si>
    <t xml:space="preserve">Contenu</t>
  </si>
  <si>
    <t xml:space="preserve">Matrice compétences / sous-compétences</t>
  </si>
  <si>
    <t xml:space="preserve">68 fiches pédagogiques complètes</t>
  </si>
  <si>
    <t xml:space="preserve">2 – Fiches</t>
  </si>
  <si>
    <t xml:space="preserve">Bibliothèque de scripts vidéo</t>
  </si>
  <si>
    <t xml:space="preserve">Bibliothèque de storyboards</t>
  </si>
  <si>
    <t xml:space="preserve">Bibliothèque de BD</t>
  </si>
  <si>
    <t xml:space="preserve">Bibliothèque de jeux/manipulations</t>
  </si>
  <si>
    <t xml:space="preserve">Banque d’exercices A–E</t>
  </si>
  <si>
    <t xml:space="preserve">Banque de problèmes</t>
  </si>
  <si>
    <t xml:space="preserve">Matrice erreurs / remédiations</t>
  </si>
  <si>
    <t xml:space="preserve">Banque QCM CEP</t>
  </si>
  <si>
    <t xml:space="preserve">3 – CEP</t>
  </si>
  <si>
    <t xml:space="preserve">Banque d’épreuves CEP</t>
  </si>
  <si>
    <t xml:space="preserve">Simulateur CEP</t>
  </si>
  <si>
    <t xml:space="preserve">Cahier des charges du tuteur IA</t>
  </si>
  <si>
    <t xml:space="preserve">5 – MVP</t>
  </si>
  <si>
    <t xml:space="preserve">Produit / technique</t>
  </si>
  <si>
    <t xml:space="preserve">Base : section 13 du doc maître.</t>
  </si>
  <si>
    <t xml:space="preserve">Design system UX/UI</t>
  </si>
  <si>
    <t xml:space="preserve">4 – UX/UI</t>
  </si>
  <si>
    <t xml:space="preserve">Application mobile</t>
  </si>
  <si>
    <t xml:space="preserve">7 – Développement</t>
  </si>
  <si>
    <t xml:space="preserve">Backend et modèle de données</t>
  </si>
  <si>
    <t xml:space="preserve">Dashboards élève/parent/enseignant</t>
  </si>
  <si>
    <t xml:space="preserve">Système analytics</t>
  </si>
  <si>
    <t xml:space="preserve">Dossier QA</t>
  </si>
  <si>
    <t xml:space="preserve">6 – Tests</t>
  </si>
  <si>
    <t xml:space="preserve">Guide d’administration</t>
  </si>
  <si>
    <t xml:space="preserve">11 – Déploiement</t>
  </si>
  <si>
    <t xml:space="preserve">Guide enseignant</t>
  </si>
  <si>
    <t xml:space="preserve">Guide parent</t>
  </si>
  <si>
    <t xml:space="preserve">Rapport pilote</t>
  </si>
  <si>
    <t xml:space="preserve">8 – Pilote</t>
  </si>
  <si>
    <t xml:space="preserve">Suivi</t>
  </si>
  <si>
    <t xml:space="preserve">Rapport d’évaluation et recommandations</t>
  </si>
  <si>
    <t xml:space="preserve">9 – Évaluation</t>
  </si>
  <si>
    <t xml:space="preserve">N°</t>
  </si>
  <si>
    <t xml:space="preserve">Repère de planification (doc maître)</t>
  </si>
  <si>
    <t xml:space="preserve">Sortie attendue</t>
  </si>
  <si>
    <t xml:space="preserve">Début</t>
  </si>
  <si>
    <t xml:space="preserve">Fin</t>
  </si>
  <si>
    <t xml:space="preserve">Cadrage</t>
  </si>
  <si>
    <t xml:space="preserve">2–4 semaines</t>
  </si>
  <si>
    <t xml:space="preserve">Vision, périmètre, gouvernance, critères de réussite.</t>
  </si>
  <si>
    <t xml:space="preserve">Document maître v1.0 reçu (sept. 2026). Pilotage lancé.</t>
  </si>
  <si>
    <t xml:space="preserve">Référentiel</t>
  </si>
  <si>
    <t xml:space="preserve">6–10 semaines</t>
  </si>
  <si>
    <t xml:space="preserve">Validation des notions, compétences, prérequis, progression.</t>
  </si>
  <si>
    <t xml:space="preserve">Fiches pédagogiques</t>
  </si>
  <si>
    <t xml:space="preserve">3–6 mois</t>
  </si>
  <si>
    <t xml:space="preserve">Production détaillée des 68 notions, en vagues.</t>
  </si>
  <si>
    <t xml:space="preserve">CEP en parallèle</t>
  </si>
  <si>
    <t xml:space="preserve">En parallèle</t>
  </si>
  <si>
    <t xml:space="preserve">Vidéos, QCM, problèmes, sujets, simulateur.</t>
  </si>
  <si>
    <t xml:space="preserve">UX/UI</t>
  </si>
  <si>
    <t xml:space="preserve">Prototype, tests de navigation, design system.</t>
  </si>
  <si>
    <t xml:space="preserve">Cycle court</t>
  </si>
  <si>
    <t xml:space="preserve">5–10 leçons représentatives + IA + suivi.</t>
  </si>
  <si>
    <t xml:space="preserve">Tests utilisateurs</t>
  </si>
  <si>
    <t xml:space="preserve">Plusieurs vagues</t>
  </si>
  <si>
    <t xml:space="preserve">Enfants, enseignants, parents ; corrections.</t>
  </si>
  <si>
    <t xml:space="preserve">Développement complet</t>
  </si>
  <si>
    <t xml:space="preserve">Après validation MVP</t>
  </si>
  <si>
    <t xml:space="preserve">Toutes les fonctions, offline, dashboards.</t>
  </si>
  <si>
    <t xml:space="preserve">Pilote</t>
  </si>
  <si>
    <t xml:space="preserve">Établissements ciblés</t>
  </si>
  <si>
    <t xml:space="preserve">Mesure des usages et apprentissages.</t>
  </si>
  <si>
    <t xml:space="preserve">Évaluation</t>
  </si>
  <si>
    <t xml:space="preserve">Après pilote</t>
  </si>
  <si>
    <t xml:space="preserve">Analyse d’impact, qualité, adoption.</t>
  </si>
  <si>
    <t xml:space="preserve">Amélioration</t>
  </si>
  <si>
    <t xml:space="preserve">Itératif</t>
  </si>
  <si>
    <t xml:space="preserve">Corrections et enrichissements.</t>
  </si>
  <si>
    <t xml:space="preserve">Déploiement</t>
  </si>
  <si>
    <t xml:space="preserve">Progressif</t>
  </si>
  <si>
    <t xml:space="preserve">Montée en charge, formation, accompagnement.</t>
  </si>
  <si>
    <t xml:space="preserve">Date</t>
  </si>
  <si>
    <t xml:space="preserve">Description</t>
  </si>
  <si>
    <t xml:space="preserve">Décision</t>
  </si>
  <si>
    <t xml:space="preserve">Le projet est piloté par vagues (V0 pilote N22, puis V1 à V4) ; découpage à confirmer.</t>
  </si>
  <si>
    <t xml:space="preserve">Assistant / Porteur du projet</t>
  </si>
  <si>
    <t xml:space="preserve">Produire d’abord une tranche verticale complète sur N22 (leçon, exercices, corrections, script vidéo, BD, prototype).</t>
  </si>
  <si>
    <t xml:space="preserve">Action</t>
  </si>
  <si>
    <t xml:space="preserve">Prompt maître de BD pour le chapitre Fractions (N17–N23) créé ; à utiliser avec l’épisode N22.</t>
  </si>
  <si>
    <t xml:space="preserve">Assistant</t>
  </si>
  <si>
    <t xml:space="preserve">Terminé</t>
  </si>
  <si>
    <t xml:space="preserve">Rédiger la leçon N22 complète (12 étapes) à partir de la section 10 du doc maître.</t>
  </si>
  <si>
    <t xml:space="preserve">Question ouverte</t>
  </si>
  <si>
    <t xml:space="preserve">Qui valide le référentiel de 68 notions côté enseignants/experts béninois, et à quelle date ?</t>
  </si>
  <si>
    <t xml:space="preserve">Porteur du projet</t>
  </si>
  <si>
    <t xml:space="preserve">Quels programmes officiels béninois en vigueur servent de référence pour la validation ?</t>
  </si>
  <si>
    <t xml:space="preserve">Outils retenus pour voix, vidéo et illustrations (génération d’images, montage) ?</t>
  </si>
  <si>
    <t xml:space="preserve">2026-09-30</t>
  </si>
  <si>
    <t xml:space="preserve">Texte : Laguna en modèle principal, DeepSeek en repli automatique (hermes fallback ; clé DEEPSEEK_API_KEY dans le fichier .env du VPS). Usage ponctuel pour ne pas perdre une opération en cours.</t>
  </si>
  <si>
    <t xml:space="preserve">Vision (images et vidéos, lecture seule) : Qwen3-VL en principal, Gemini Flash en repli via auxiliary.vision. La création d’images reste dans Midjourney, Blender et Canva.</t>
  </si>
  <si>
    <t xml:space="preserve">Relecteur : Claude via clé d’API officielle dans Hermes. Budget maximal 10 € au total, crédits prépayés, sans rechargement automatique. Voir feuille « Budget API ».</t>
  </si>
  <si>
    <t xml:space="preserve">Aucun routeur tiers (OmniRoute, 9Router) sur le VPS. Repli par les fournisseurs officiels via Hermes.</t>
  </si>
  <si>
    <t xml:space="preserve">Application web (PWA) à la place de Godot ; voix pré-générées ; Blender limité à la mascotte et à quelques décors.</t>
  </si>
  <si>
    <t xml:space="preserve">Laguna : accès par service hébergé (clé) ou auto-hébergé ? Taille XS ou S, mémoire du VPS ?</t>
  </si>
  <si>
    <t xml:space="preserve">Où héberger Qwen3-VL (fournisseur compatible OpenAI ou machine avec carte graphique) ?</t>
  </si>
  <si>
    <t xml:space="preserve">Jev (TypeSafe) : pré-filtre qualité et diagnostic d’erreur ? Accès en liste d’attente, résultats auto-déclarés ; à tester avant adoption.</t>
  </si>
  <si>
    <t xml:space="preserve">Rédiger le document d’architecture pour Hermes (rôles, flux, règles d’approbation, garde-fous).</t>
  </si>
  <si>
    <t xml:space="preserve">Préparer et sécuriser le VPS (utilisateur dédié, clé SSH, pare-feu), installer Hermes, tester le repli en simulant une panne.</t>
  </si>
  <si>
    <t xml:space="preserve">Porteur du projet / Assistant</t>
  </si>
  <si>
    <t xml:space="preserve">Risque</t>
  </si>
  <si>
    <t xml:space="preserve">Audit : les 204 messages du tuteur des fiches suivent le même modèle, qui produit du français fautif (« Tu as confondre »). Réécriture complète au niveau de l’exemple N22 (section 10).</t>
  </si>
  <si>
    <t xml:space="preserve">Audit : 3 erreurs seulement par notion ; l’erreur réelle de N22 (24 ÷ 3) est absente de la fiche. Cible : 4 à 6 erreurs réelles par notion, recueillies auprès d’enseignants et dans des copies.</t>
  </si>
  <si>
    <t xml:space="preserve">Assistant / Enseignants</t>
  </si>
  <si>
    <t xml:space="preserve">Audit : le parcours en 12 étapes est identique dans les 68 fiches (gabarit). Concevoir manipulation et histoire par notion ; 5 moments visibles pour l’enfant (mission, défi, aide vidéo, aventure, boss).</t>
  </si>
  <si>
    <t xml:space="preserve">Exercices produits par générateurs paramétriques vérifiés par code (bonnes réponses et distracteurs issus des erreurs typiques), validation par échantillon par un enseignant.</t>
  </si>
  <si>
    <t xml:space="preserve">Séparer le moteur de maths (notions, exercices, corrections) de l’habillage narratif (personnages, histoire), pour pouvoir changer de thème sans refaire les contenus.</t>
  </si>
  <si>
    <t xml:space="preserve">Concept retenu à tester : Mathéo, petit visiteur des étoiles (amical, sans invasion), contre 2 autres concepts, auprès de 15 à 20 élèves de CM2.</t>
  </si>
  <si>
    <t xml:space="preserve">Obtenir le programme officiel de mathématiques du Bénin (CE2, CM1, CM2) pour vérifier la couverture du référentiel.</t>
  </si>
  <si>
    <t xml:space="preserve">Choisir le nom de l’application et trancher entre « Matho » (document maître) et « Mathéo » (personnage) ; vérifier marque, domaine, stores et sens dans les langues locales.</t>
  </si>
  <si>
    <t xml:space="preserve">IA conversationnelle dans la révision (questions libres, photo de problème) : à valider sur coûts d’exploitation, modèle économique, protection des données des enfants et mode indices d’abord.</t>
  </si>
  <si>
    <t xml:space="preserve">Revue documentaire lancée : 15 sources documentées, 10 pistes à rechercher (feuille « Revue documentaire »). Lire en entier les articles marqués « Résumé lu ».</t>
  </si>
  <si>
    <t xml:space="preserve">16 principes de conception proposés (feuille « Principes de conception »), à valider avec des enseignants et à tester avec des enfants.</t>
  </si>
  <si>
    <t xml:space="preserve">Correction du conseil « défi avant explication » : défi guidé seulement si les prérequis sont maîtrisés, sinon exemple résolu d’abord (revue n°10).</t>
  </si>
  <si>
    <t xml:space="preserve">IA : cœur hors ligne (contenus pré-écrits et code) + chat en ligne plafonné ; test d’un petit modèle sur l’appareil sur de vrais téléphones d’élèves. Quels appareils utilisent la plupart des élèves ?</t>
  </si>
  <si>
    <t xml:space="preserve">Appareil de référence : tablette éducative de 3 Go de RAM et 32 Go de stockage. Pas d’IA embarquée ; cœur hors ligne ; contenus téléchargés par niveau ; médias légers et pré-générés.</t>
  </si>
  <si>
    <t xml:space="preserve">Se procurer une tablette de référence identique aux élèves et mesurer : version de Chrome/WebView, stockage libre, mémoire disponible, caméra, Wi-Fi/SIM, vitesse de chargement.</t>
  </si>
  <si>
    <t xml:space="preserve">Modèle exact de la tablette et accès à Internet (école, maison, aucun) : ces réponses dimensionnent l’IA en ligne, la synchronisation et le téléchargement des contenus.</t>
  </si>
  <si>
    <t xml:space="preserve">Déploiement prévu : 3 000 élèves la première année, 6 000 la deuxième. Aucune limite de questions ni de photos visible pour l’élève ; garde-fous techniques anti-abus seulement.</t>
  </si>
  <si>
    <t xml:space="preserve">Optimiser les coûts d’IA : réutiliser les explications d’exercices identiques, cache de consigne, réponses courtes, compression des photos, tri en cascade. Mesurer les taux réels pendant le pilote (feuille « Budget exploitation »).</t>
  </si>
  <si>
    <t xml:space="preserve">Photos d’élèves : recadrer sur l’exercice, ne pas conserver les images, éviter visages et noms ; base légale et consentement à valider (APDP). Droits d’usage des manuels officiels pour l’indexation à vérifier.</t>
  </si>
  <si>
    <t xml:space="preserve">Claude (architecte, ce chat) rédige TOUS les scénarios : intrigues, vidéos, BD et textes de Mathéo. Hermes et les outils exécutent à la lettre, sans inventer. Scénarios verrouillés et versionnés ; toute modification passe par Claude. Les humains valident (pédagogie, langue, tests enfants), ils ne réécrivent pas.</t>
  </si>
  <si>
    <t xml:space="preserve">Rédiger la bible narrative (univers, personnages, ton, règles, arc) et le registre de continuité.</t>
  </si>
  <si>
    <t xml:space="preserve">Rédiger le scénario pilote N22 complet (intrigue, vidéo, BD, textes de Mathéo), puis produire par lots de 6 à 8 notions par domaine, en commençant par le CM2.</t>
  </si>
  <si>
    <t xml:space="preserve">Personnages fixés : Mathéo, Anita (9 ans), Kola (9 ans), Mamie Sègla, Maître Léo. Remplacent Aïcha, Codjo, Mamie Sènami, Maître Adjovi. Bible narrative v0.2.</t>
  </si>
  <si>
    <t xml:space="preserve">Scénario pilote N22 v0.1 rédigé (mission, défi, vidéo 3 min 10, BD de 8 cases, 6 textes de Mathéo, quiz A à D, boss, remédiation). À valider par un enseignant béninois, un relecteur local et un test avec des enfants.</t>
  </si>
  <si>
    <t xml:space="preserve">Faire valider le scénario N22 (exactitude, erreurs réelles, vocabulaire, décor) puis le tester avec 15 à 20 élèves ; ajuster la bible et le gabarit avant de lancer le lot suivant.</t>
  </si>
  <si>
    <t xml:space="preserve">Contenu V1 (MVP) fixé par Claude sur délégation : CM2 uniquement ; 12 notions (N10, N11, N17 à N23, N62 à N64) ; Épisode 0 ; test de positionnement ; boss Fractions ; Révision ; 1 sujet de CEP blanc ; tuteur Mathéo avec indices et « Vérifie ma réponse » ; tableau de bord enseignant minimal. CE2 et CM1 en V2.</t>
  </si>
  <si>
    <t xml:space="preserve">Assistant (délégation du porteur)</t>
  </si>
  <si>
    <t xml:space="preserve">Lancer le lot 2 (N17 à N21 et N23) après validation du pilote N22 ; puis lot 3 (N10, N11, positionnement, Épisode 0), lot 4 (N62 à N64, boss, CEP blanc, révision), lot 5 (intégration et tests).</t>
  </si>
  <si>
    <t xml:space="preserve">Fournir les contenus CE2 et CM1 (V2) quand le moment viendra, et le programme officiel pour vérifier la couverture.</t>
  </si>
  <si>
    <t xml:space="preserve">Document d’architecture et d’exécution pour Hermes v0.1 rédigé (rôles, modèles, sécurité, performance, règles, missions M0 à M4, message d’amorce). À déposer dans le dossier docs/ du dépôt.</t>
  </si>
  <si>
    <t xml:space="preserve">Déposer les documents de référence dans le dépôt Git privé et donner à Hermes le message d’amorce pour lancer la mission M0.</t>
  </si>
  <si>
    <t xml:space="preserve">BUDGET API CLAUDE – SUIVI DE LA CONSOMMATION</t>
  </si>
  <si>
    <t xml:space="preserve">Cellules jaunes à fond bleu : à modifier. Le reste se calcule. Ne jamais écrire de clé d’API dans ce fichier.</t>
  </si>
  <si>
    <t xml:space="preserve">Paramètre</t>
  </si>
  <si>
    <t xml:space="preserve">Note</t>
  </si>
  <si>
    <t xml:space="preserve">Budget total du projet (€)</t>
  </si>
  <si>
    <t xml:space="preserve">Décision du porteur du projet (30/09/2026).</t>
  </si>
  <si>
    <t xml:space="preserve">Taux de change ($ pour 1 €)</t>
  </si>
  <si>
    <t xml:space="preserve">Hypothèse : à mettre à jour avec le taux du jour.</t>
  </si>
  <si>
    <t xml:space="preserve">Seuil « vigilance »</t>
  </si>
  <si>
    <t xml:space="preserve">Au-delà : relectures par lots (Batch, −50 %).</t>
  </si>
  <si>
    <t xml:space="preserve">Seuil « critiques seulement »</t>
  </si>
  <si>
    <t xml:space="preserve">Au-delà : seuls les livrables critiques sont relus par Claude.</t>
  </si>
  <si>
    <t xml:space="preserve">Seuil « arrêt total »</t>
  </si>
  <si>
    <t xml:space="preserve">Arrêt de tout appel Claude jusqu’à décision du porteur.</t>
  </si>
  <si>
    <t xml:space="preserve">Tokens d’entrée d’une relecture type</t>
  </si>
  <si>
    <t xml:space="preserve">Hypothèse de l’assistant (livrable + grille + extraits).</t>
  </si>
  <si>
    <t xml:space="preserve">Tokens de sortie d’une relecture type</t>
  </si>
  <si>
    <t xml:space="preserve">Hypothèse de l’assistant (verdict + corrections).</t>
  </si>
  <si>
    <t xml:space="preserve">TARIFS (dollars par million de tokens)</t>
  </si>
  <si>
    <t xml:space="preserve">Modèle</t>
  </si>
  <si>
    <t xml:space="preserve">Identifiant API</t>
  </si>
  <si>
    <t xml:space="preserve">Entrée ($/M)</t>
  </si>
  <si>
    <t xml:space="preserve">Sortie ($/M)</t>
  </si>
  <si>
    <t xml:space="preserve">Haiku 4.5</t>
  </si>
  <si>
    <t xml:space="preserve">claude-haiku-4-5-20251001</t>
  </si>
  <si>
    <t xml:space="preserve">Sources publiques, sept. 2026.</t>
  </si>
  <si>
    <t xml:space="preserve">Sonnet 5.5</t>
  </si>
  <si>
    <t xml:space="preserve">claude-sonnet-5-5</t>
  </si>
  <si>
    <t xml:space="preserve">Tarif de Sonnet 5 utilisé par défaut : à vérifier dans la Console pour la version 5.5.</t>
  </si>
  <si>
    <t xml:space="preserve">Opus 5.5</t>
  </si>
  <si>
    <t xml:space="preserve">claude-opus-5-5</t>
  </si>
  <si>
    <t xml:space="preserve">Sources publiques, sept. 2026 (lancé le 22/09/2026).</t>
  </si>
  <si>
    <t xml:space="preserve">Le cache (−90 % sur les tokens relus) et l’API par lots (−50 %) ne sont pas modélisés : les coûts calculés sont donc des estimations prudentes (plutôt supérieures).</t>
  </si>
  <si>
    <t xml:space="preserve">SYNTHÈSE</t>
  </si>
  <si>
    <t xml:space="preserve">Dépensé (€)</t>
  </si>
  <si>
    <t xml:space="preserve">Reste (€)</t>
  </si>
  <si>
    <t xml:space="preserve">Consommation du budget</t>
  </si>
  <si>
    <t xml:space="preserve">Nombre d’appels journalisés</t>
  </si>
  <si>
    <t xml:space="preserve">Coût type d’une relecture Sonnet ($)</t>
  </si>
  <si>
    <t xml:space="preserve">Relectures Sonnet restantes (estimation)</t>
  </si>
  <si>
    <t xml:space="preserve">Coût moyen par appel (€)</t>
  </si>
  <si>
    <t xml:space="preserve">JOURNAL DES APPELS (une ligne par appel ou par lot)</t>
  </si>
  <si>
    <t xml:space="preserve">Exemple de saisie (non compté) : 2026-09-30 | Sonnet 5.5 | N22 – leçon | 15000 | 1500 → environ 0,05 $.</t>
  </si>
  <si>
    <t xml:space="preserve">Hermes journalise chaque appel Claude (date, modèle, tokens, tâche) ; recopiez ou faites remplir ces lignes automatiquement.</t>
  </si>
  <si>
    <t xml:space="preserve">Livrable / tâche</t>
  </si>
  <si>
    <t xml:space="preserve">Tokens entrée</t>
  </si>
  <si>
    <t xml:space="preserve">Tokens sortie</t>
  </si>
  <si>
    <t xml:space="preserve">Coût ($)</t>
  </si>
  <si>
    <t xml:space="preserve">Coût (€)</t>
  </si>
  <si>
    <t xml:space="preserve">Cumul (€)</t>
  </si>
  <si>
    <t xml:space="preserve">PARAMÈTRES DU PILOTAGE</t>
  </si>
  <si>
    <t xml:space="preserve">Poids d’avancement</t>
  </si>
  <si>
    <t xml:space="preserve">Signification</t>
  </si>
  <si>
    <t xml:space="preserve">Pas commencé</t>
  </si>
  <si>
    <t xml:space="preserve">Production en cours</t>
  </si>
  <si>
    <t xml:space="preserve">Produit, en attente de relecture / validation</t>
  </si>
  <si>
    <t xml:space="preserve">Relu et validé (maths, pédagogie, qualité)</t>
  </si>
  <si>
    <t xml:space="preserve">Hypothèse : les poids (0 %, 40 %, 75 %, 100 %) sont une proposition de départ. Modifiez les cellules jaunes pour changer le calcul d’avancement partout.</t>
  </si>
  <si>
    <t xml:space="preserve">Justification</t>
  </si>
  <si>
    <t xml:space="preserve">N22 (tranche verticale complète)</t>
  </si>
  <si>
    <t xml:space="preserve">Valider la méthode et le niveau de qualité avant la production en série.</t>
  </si>
  <si>
    <t xml:space="preserve">N10, N11, N17–N21, N23, N62–N64 (avec N22 pilote)</t>
  </si>
  <si>
    <t xml:space="preserve">Première version testable pour le CM2 : prérequis de calcul, chapitre Fractions complet, résolution de problèmes.</t>
  </si>
  <si>
    <t xml:space="preserve">N01–N16 : numération, décimaux, calcul (hors notions MVP)</t>
  </si>
  <si>
    <t xml:space="preserve">Prérequis des autres notions.</t>
  </si>
  <si>
    <t xml:space="preserve">N17–N30 : fractions, proportionnalité</t>
  </si>
  <si>
    <t xml:space="preserve">Cœur du CEP ; s’appuie sur la division et les décimaux.</t>
  </si>
  <si>
    <t xml:space="preserve">N31–N54 : mesures, géométrie plane, périmètres et aires</t>
  </si>
  <si>
    <t xml:space="preserve">Notions procédurales et visuelles.</t>
  </si>
  <si>
    <t xml:space="preserve">N55–N68 : espace, échelles, résolution de problèmes</t>
  </si>
  <si>
    <t xml:space="preserve">Notions de synthèse qui mobilisent les précédentes.</t>
  </si>
  <si>
    <t xml:space="preserve">Hypothèse : découpage en vagues proposé par l’assistant (ordre des prérequis). Le document maître prévoit une production « en vagues » sans fixer leur contenu.</t>
  </si>
  <si>
    <t xml:space="preserve">REVUE DOCUMENTAIRE – RECHERCHES UTILES AU PARCOURS ET AU STYLE PÉDAGOGIQUE</t>
  </si>
  <si>
    <t xml:space="preserve">Méthode : les sources ci-dessous ont été retrouvées par recherche web (septembre 2026). Sauf mention contraire, l’assistant a lu des résumés, des pages de synthèse ou des extraits, pas les articles complets : statut « Résumé lu ». Les chiffres sont ceux rapportés par ces sources. Les études ne concernent pas toutes des élèves de primaire ni le Bénin : voir la colonne « Limites ».</t>
  </si>
  <si>
    <t xml:space="preserve">Thème</t>
  </si>
  <si>
    <t xml:space="preserve">Source</t>
  </si>
  <si>
    <t xml:space="preserve">Type d’étude et contexte</t>
  </si>
  <si>
    <t xml:space="preserve">Résultat principal (rapporté)</t>
  </si>
  <si>
    <t xml:space="preserve">Ce que cela implique pour Mathéo</t>
  </si>
  <si>
    <t xml:space="preserve">Limites / fiabilité</t>
  </si>
  <si>
    <t xml:space="preserve">Preuve</t>
  </si>
  <si>
    <t xml:space="preserve">Lien</t>
  </si>
  <si>
    <t xml:space="preserve">Ajouté le</t>
  </si>
  <si>
    <t xml:space="preserve">IA tutrice</t>
  </si>
  <si>
    <t xml:space="preserve">Bastani, Bastani, Sungu et al. (2025), PNAS ; version 2024 sur SSRN</t>
  </si>
  <si>
    <t xml:space="preserve">Essai contrôlé, environ 1 000 lycéens, cours de maths. Deux tuteurs GPT-4 : version standard et version avec garde-fous.</t>
  </si>
  <si>
    <t xml:space="preserve">La version standard améliore les résultats à l’entraînement (+48 %) mais les élèves réussissent 17 % moins bien à l’examen sans IA. Le tuteur avec garde-fous (+127 % à l’entraînement) supprime ce préjudice, sans bénéfice net mesuré à l’examen.</t>
  </si>
  <si>
    <t xml:space="preserve">Mathéo n’est jamais une IA qui donne la réponse. Indices progressifs, effort de l’enfant d’abord, évaluation « Boss » sans aide de l’IA.</t>
  </si>
  <si>
    <t xml:space="preserve">Lycéens (pas primaire), un seul pays, GPT-4. Le sens général est très cité.</t>
  </si>
  <si>
    <t xml:space="preserve">Élevée</t>
  </si>
  <si>
    <t xml:space="preserve">Résumé lu</t>
  </si>
  <si>
    <t xml:space="preserve">https://scale.stanford.edu/publications/generative-ai-can-harm-learning</t>
  </si>
  <si>
    <t xml:space="preserve">De Simone, Tiberti, Barron Rodriguez et al. (2025), Banque mondiale, « From Chalkboards to Chatbots »</t>
  </si>
  <si>
    <t xml:space="preserve">Essai contrôlé, 9 écoles publiques (Edo, Nigeria), 6 semaines après l’école, élèves en binômes avec GPT-4 sous supervision d’un enseignant, consignes favorisant le raisonnement.</t>
  </si>
  <si>
    <t xml:space="preserve">+0,31 écart-type (anglais : +0,23), soit environ 1,5 à 2 ans de scolarité ordinaire selon les auteurs. Plus de séances suivies, plus de gains.</t>
  </si>
  <si>
    <t xml:space="preserve">L’IA fonctionne dans un cadre structuré, avec un adulte qui anime. Prévoir un mode classe supervisé avant tout usage libre à la maison.</t>
  </si>
  <si>
    <t xml:space="preserve">Secondaire, anglais (pas maths), programme encadré. Effets à transposer avec prudence au primaire.</t>
  </si>
  <si>
    <t xml:space="preserve">https://documents.worldbank.org/en/publication/documents-reports/documentdetail/099548105192529324</t>
  </si>
  <si>
    <t xml:space="preserve">UNESCO (2023), Guide pour l’IA générative en éducation ; couverture AFP</t>
  </si>
  <si>
    <t xml:space="preserve">Orientations pour les États. Seule la couverture de presse a été lue.</t>
  </si>
  <si>
    <t xml:space="preserve">Met en garde contre l’effet sur le bien-être émotionnel et la manipulation des enfants. Mentionne le seuil de 13 ans utilisé par ChatGPT, que beaucoup jugent trop bas (16 ans proposé). Les comptes rendus divergent sur la formulation exacte.</t>
  </si>
  <si>
    <t xml:space="preserve">Chat libre réservé aux contextes supervisés ; pas d’attachement artificiel ; avis juridique local avant ouverture aux 8-11 ans.</t>
  </si>
  <si>
    <t xml:space="preserve">Source secondaire (presse). Lire le guide original.</t>
  </si>
  <si>
    <t xml:space="preserve">Moyenne</t>
  </si>
  <si>
    <t xml:space="preserve">https://techxplore.com/news/2023-09-age-limits-ai-tools-schools.amp</t>
  </si>
  <si>
    <t xml:space="preserve">Fractions</t>
  </si>
  <si>
    <t xml:space="preserve">Fuchs, Malone, Schumacher, Namkung, Wang (2017), Journal of Learning Disabilities : 5 essais contrôlés</t>
  </si>
  <si>
    <t xml:space="preserve">Programme « Fraction Face-Off! », élèves de 4e année à risque, petits groupes, 12 semaines. Approche centrée sur la grandeur des fractions et la droite numérique.</t>
  </si>
  <si>
    <t xml:space="preserve">Effet moyen rapporté : 0,64 (N = 212). Comprendre qu’une fraction est un nombre placé sur une droite graduée améliore la compréhension et le calcul.</t>
  </si>
  <si>
    <t xml:space="preserve">Dans N17 à N23, ajouter la droite graduée et la comparaison de grandeurs, en plus des parts de gâteau. À intégrer dans les leçons N19, N20, N21.</t>
  </si>
  <si>
    <t xml:space="preserve">Élèves américains à risque, animés par des adultes. Effet à confirmer en autonomie sur écran.</t>
  </si>
  <si>
    <t xml:space="preserve">https://edknowledge.stanford.edu/node/274</t>
  </si>
  <si>
    <t xml:space="preserve">Malone, Fuchs, Sterba, Fuchs, Foreman-Murray (2019), Contemporary Educational Psychology</t>
  </si>
  <si>
    <t xml:space="preserve">Essai contrôlé, N = 225 élèves de 4e année, comparaison fractions seules, fractions + décimaux intégrés, fractions + applications.</t>
  </si>
  <si>
    <t xml:space="preserve">Le programme sur la grandeur des fractions améliore la compréhension (effet 0,29) et se transfère aux décimaux sur droite numérique. Intégrer les décimaux au programme des fractions n’ajoute pas de bénéfice supplémentaire.</t>
  </si>
  <si>
    <t xml:space="preserve">Ne pas fusionner fractions et décimaux dans les mêmes leçons ; un lien explicite suffit dans la progression.</t>
  </si>
  <si>
    <t xml:space="preserve">Même limites que la ligne précédente.</t>
  </si>
  <si>
    <t xml:space="preserve">https://edknowledge.stanford.edu/node/273</t>
  </si>
  <si>
    <t xml:space="preserve">Parcours et niveau</t>
  </si>
  <si>
    <t xml:space="preserve">J-PAL (synthèse) : Teaching at the Right Level (Pratham) et logiciels adaptatifs (Mindspark, programme de remédiation en jeu)</t>
  </si>
  <si>
    <t xml:space="preserve">Six évaluations aléatoires dans sept États indiens pour TaRL ; deux programmes numériques adaptatifs.</t>
  </si>
  <si>
    <t xml:space="preserve">TaRL : +0,07 à +0,70 écart-type ; les élèves les plus faibles progressent le plus. Mindspark : +0,37 en maths après 4,5 mois. Programme de remédiation en jeu : +0,47 la 2e année.</t>
  </si>
  <si>
    <t xml:space="preserve">Test de positionnement à l’entrée, parcours adapté au niveau réel (pas seulement à la classe déclarée), retour aux prérequis, remédiation ciblée.</t>
  </si>
  <si>
    <t xml:space="preserve">Inde, dispositifs avec encadrement. Bonne pertinence pour un contexte de faible niveau initial.</t>
  </si>
  <si>
    <t xml:space="preserve">https://www.povertyactionlab.org/ar/print/pdf/node/4537?lang=en</t>
  </si>
  <si>
    <t xml:space="preserve">Application de maths en Afrique</t>
  </si>
  <si>
    <t xml:space="preserve">Pitchford (2015), Frontiers in Psychology ; Hubber et al. (2016) ; couverture Univ. de Nottingham et presse</t>
  </si>
  <si>
    <t xml:space="preserve">Essai contrôlé de 8 semaines, 283 élèves des classes 1 à 3 à Lilongwe (Malawi). Applications onebillion, environ 30 minutes par jour, audio en chichewa, progression conditionnée à un score de 10/10, petits groupes.</t>
  </si>
  <si>
    <t xml:space="preserve">Connaissances du programme : d = 0,75 ; connaissances conceptuelles : d = 0,23. Le Malawi a ensuite étendu le programme à plusieurs centaines d’écoles.</t>
  </si>
  <si>
    <t xml:space="preserve">Séances d’environ 30 minutes, maîtrise avant de passer à la suite, audio dans la langue de l’enfant, usage en petits groupes possible. Seuil de maîtrise à calibrer (10/10 ou moins).</t>
  </si>
  <si>
    <t xml:space="preserve">Élèves des classes 1 à 3 avec un contenu conçu pour de jeunes enfants, un seul essai initial, une école urbaine. Les formules de presse (« 18 mois en 6 semaines ») sont à manier avec prudence.</t>
  </si>
  <si>
    <t xml:space="preserve">Moyenne à élevée</t>
  </si>
  <si>
    <t xml:space="preserve">https://pmc.ncbi.nlm.nih.gov/articles/PMC4893577</t>
  </si>
  <si>
    <t xml:space="preserve">Style visuel et narratif</t>
  </si>
  <si>
    <t xml:space="preserve">Sundararajan et Adesope (2020), Educational Psychology Review ; Rey (2012) ; méta-analyse AERA 2026</t>
  </si>
  <si>
    <t xml:space="preserve">Méta-analyse de 58 études (plus de 7 500 élèves) sur les « détails séduisants » : éléments attrayants mais sans lien avec la notion.</t>
  </si>
  <si>
    <t xml:space="preserve">Effet négatif sur l’apprentissage (g = −0,33 dans une synthèse ; −0,16 dans une méta-analyse plus récente). Plus marqué quand l’élément est fixe et constant, et via la surcharge cognitive. Une étude de 2025 montre que des images liées au concept peuvent aider.</t>
  </si>
  <si>
    <t xml:space="preserve">L’histoire doit être intégrée au calcul : les objets de l’histoire sont les objets des maths (mangues, pièces du vaisseau). Pas de décor animé ni d’effets à côté des calculs. Intrigue avant et après la notion, pas pendant.</t>
  </si>
  <si>
    <t xml:space="preserve">Les effets varient selon le contexte et l’âge ; les enfants ont une mémoire de travail plus limitée. À vérifier sur des enfants béninois.</t>
  </si>
  <si>
    <t xml:space="preserve">https://news.wsu.edu/2020/03/19/seductive-details-inhibit-learning/</t>
  </si>
  <si>
    <t xml:space="preserve">Révision et pratique</t>
  </si>
  <si>
    <t xml:space="preserve">Rohrer, Dedrick, Hartwig, Cheung (2020), Journal of Educational Psychology</t>
  </si>
  <si>
    <t xml:space="preserve">Essai contrôlé en grappes, 54 classes de 7e année, 4 mois. Exercices mélangés (deux problèmes consécutifs n’utilisent jamais la même stratégie) contre exercices groupés par type.</t>
  </si>
  <si>
    <t xml:space="preserve">Test surprise un mois plus tard : 61 % contre 38 % (d = 0,83). Les enseignants l’ont mis en œuvre sans formation.</t>
  </si>
  <si>
    <t xml:space="preserve">La rubrique Révision propose des séries mélangées et espacées (rappel à quelques jours). Pour un premier apprentissage d’une notion, garder des séries groupées avant de mélanger (hypothèse de l’assistant à tester).</t>
  </si>
  <si>
    <t xml:space="preserve">Collège (pas primaire). Le temps de pratique est plus long.</t>
  </si>
  <si>
    <t xml:space="preserve">https://ies.ed.gov/use-work/awards/efficacy-study-interleaved-mathematics-practice</t>
  </si>
  <si>
    <t xml:space="preserve">Ordre de la leçon</t>
  </si>
  <si>
    <t xml:space="preserve">Sinha et Kapur (2021), Review of Educational Research</t>
  </si>
  <si>
    <t xml:space="preserve">Méta-analyse de 53 études (166 comparaisons) : résoudre un problème avant l’explication (« échec productif ») contre explication d’abord.</t>
  </si>
  <si>
    <t xml:space="preserve">Meilleure compréhension conceptuelle et meilleur transfert avec le problème d’abord. Les auteurs précisent que cela demande des connaissances préalables ; l’approche a moins bien fonctionné chez les plus jeunes ; la plupart des élèves avaient 12 à 18 ans ; le travail en petits groupes aide.</t>
  </si>
  <si>
    <t xml:space="preserve">Correction de mon conseil précédent : le défi avant l’explication doit être guidé et n’est utile que si les prérequis sont maîtrisés. Sinon, commencer par un exemple résolu. À tester sur des élèves de CM2.</t>
  </si>
  <si>
    <t xml:space="preserve">15 % seulement des élèves étaient au primaire. Résultats à confirmer à cet âge.</t>
  </si>
  <si>
    <t xml:space="preserve">Élevée (mais transfert incertain)</t>
  </si>
  <si>
    <t xml:space="preserve">https://evidencebasedliving.human.cornell.edu/blog/to-better-learn-students-must-first-fail</t>
  </si>
  <si>
    <t xml:space="preserve">Jeu et motivation</t>
  </si>
  <si>
    <t xml:space="preserve">Sailer et Homner (2019), Educational Psychology Review</t>
  </si>
  <si>
    <t xml:space="preserve">Méta-analyse sur la ludification de l’apprentissage.</t>
  </si>
  <si>
    <t xml:space="preserve">Petits effets positifs : cognitif g = 0,49, motivationnel g = 0,36, comportemental g = 0,25. Les effets sur la motivation et le comportement sont moins stables dans les études les plus rigoureuses.</t>
  </si>
  <si>
    <t xml:space="preserve">Le jeu aide, sans être magique. Récompenses liées à la progression personnelle et à la coopération, pas de classement compétitif. Le résultat du jeu doit dépendre de la maîtrise réelle.</t>
  </si>
  <si>
    <t xml:space="preserve">Peu de résultats spécifiques au primaire et au Bénin. Une étude de synthèse (Algarve) recommande d’équilibrer compétition, maîtrise et coopération : à relire.</t>
  </si>
  <si>
    <t xml:space="preserve">https://opus.bibliothek.uni-augsburg.de/opus4/files/109056/109056.pdf</t>
  </si>
  <si>
    <t xml:space="preserve">Vidéo</t>
  </si>
  <si>
    <t xml:space="preserve">Guo, Kim, Rubin (2014), Learning at Scale (edX)</t>
  </si>
  <si>
    <t xml:space="preserve">Analyse de 6,9 millions de sessions de visionnage sur des cours en ligne.</t>
  </si>
  <si>
    <t xml:space="preserve">L’engagement chute nettement après environ 6 minutes. Les vidéos plus personnelles et les tracés à la main de type tableau sont plus engageants.</t>
  </si>
  <si>
    <t xml:space="preserve">Vidéos « pour les nuls » de 2 à 4 minutes, une seule idée, ton informel, tracé à la main et voix. Découper les notions complexes en capsules.</t>
  </si>
  <si>
    <t xml:space="preserve">Adultes (cours en ligne), engagement mesuré, pas apprentissage. À vérifier avec des enfants.</t>
  </si>
  <si>
    <t xml:space="preserve">https://www.cs.rochester.edu/hci/pubs/pdfs/edX-MOOC-video-production-and-engagement_LAS-2014.pdf</t>
  </si>
  <si>
    <t xml:space="preserve">Liberté de choix</t>
  </si>
  <si>
    <t xml:space="preserve">Saw (thèse, Université d’Auckland) ; synthèses citant Kraiger et Jerden (2007) et Karich et al. (2014)</t>
  </si>
  <si>
    <t xml:space="preserve">Expérience en ligne sur le contrôle du parcours par l’apprenant ; méta-analyses sur le contrôle par l’apprenant.</t>
  </si>
  <si>
    <t xml:space="preserve">Les experts profitent du libre choix, les novices apprennent moins bien et se frustrent. Les méta-analyses concluent à un avantage nul ou léger du contrôle par l’apprenant, avec des effets positifs surtout chez ceux qui ont de bonnes connaissances préalables.</t>
  </si>
  <si>
    <t xml:space="preserve">Révision libre : ouverte pour les notions déjà travaillées. Pour les nouvelles notions, parcours guidé et recommandations. Un enfant en difficulté ne choisit pas seul ses leçons.</t>
  </si>
  <si>
    <t xml:space="preserve">Étude sur des adultes pour l’expérience principale ; sources secondaires pour les méta-analyses.</t>
  </si>
  <si>
    <t xml:space="preserve">https://www.stat.auckland.ac.nz/~iase/publications/dissertations/11.Saw.pdf</t>
  </si>
  <si>
    <t xml:space="preserve">Technique : IA hors ligne</t>
  </si>
  <si>
    <t xml:space="preserve">Documentation de projets open source (llama.cpp sur Android) ; article Miquido (sept. 2026)</t>
  </si>
  <si>
    <t xml:space="preserve">Guides techniques et article de blog, non évalués par des pairs.</t>
  </si>
  <si>
    <t xml:space="preserve">Règles empiriques : un téléphone de 4 Go de RAM gère des modèles jusqu’à environ 1,5 milliard de paramètres, 6 Go jusqu’à environ 3 milliards ; un modèle de 1 à 3 milliards pèse environ 1 à 2 Go une fois compressé. L’article avance qu’un modèle local peut traiter la majorité des requêtes simples et réduire fortement les coûts cloud.</t>
  </si>
  <si>
    <t xml:space="preserve">Une IA sur l’appareil est faisable seulement avec de petits modèles, donc moins fiables en maths et en français. À tester sur de vrais téléphones d’élèves avant d’en faire un pilier.</t>
  </si>
  <si>
    <t xml:space="preserve">Fiabilité faible (sources non académiques, parfois commerciales). À valider par des tests.</t>
  </si>
  <si>
    <t xml:space="preserve">Faible</t>
  </si>
  <si>
    <t xml:space="preserve">https://www.miquido.com/blog/small-language-models-in-mobile-apps/</t>
  </si>
  <si>
    <t xml:space="preserve">Technique : coûts API</t>
  </si>
  <si>
    <t xml:space="preserve">Tarifs publics de DeepSeek V4 Flash (plusieurs comparateurs, août-septembre 2026)</t>
  </si>
  <si>
    <t xml:space="preserve">Pages de tarifs et calculateurs.</t>
  </si>
  <si>
    <t xml:space="preserve">Environ 0,14 $ par million de tokens en entrée et 0,28 $ en sortie ; certains comparateurs affichent des prix plus bas. Pas d’offre gratuite permanente sur l’API officielle.</t>
  </si>
  <si>
    <t xml:space="preserve">Une question d’élève coûte de l’ordre de quelques centièmes de centime de dollar : prévoir un budget d’IA en production, avec plafonds par enfant.</t>
  </si>
  <si>
    <t xml:space="preserve">Tarifs susceptibles de changer sans préavis. Vérifier à la source avant décision.</t>
  </si>
  <si>
    <t xml:space="preserve">https://trevorfox.com/tools/calculators/llm-cost/deepseek/deepseek-v4-flash/</t>
  </si>
  <si>
    <t xml:space="preserve">Langue d’enseignement</t>
  </si>
  <si>
    <t xml:space="preserve">Effet de la langue (français, langues locales) sur l’apprentissage des maths au primaire au Bénin ; audio en langue locale (piste ouverte par le cas du Malawi).</t>
  </si>
  <si>
    <t xml:space="preserve">À rechercher</t>
  </si>
  <si>
    <t xml:space="preserve">Représentations</t>
  </si>
  <si>
    <t xml:space="preserve">Concret, imagé, abstrait (CRA) et estompage du concret pour les fractions et la proportionnalité.</t>
  </si>
  <si>
    <t xml:space="preserve">Exemples résolus</t>
  </si>
  <si>
    <t xml:space="preserve">Exemples résolus et retrait progressif de l’aide ; inversion de l’effet d’expertise.</t>
  </si>
  <si>
    <t xml:space="preserve">Retour d’information</t>
  </si>
  <si>
    <t xml:space="preserve">Type et moment de la correction (immédiate ou différée), retours centrés sur l’erreur en maths.</t>
  </si>
  <si>
    <t xml:space="preserve">Émotions</t>
  </si>
  <si>
    <t xml:space="preserve">Anxiété mathématique, état d’esprit de croissance, effet des récompenses sur la motivation intrinsèque chez les 8-11 ans.</t>
  </si>
  <si>
    <t xml:space="preserve">Séances</t>
  </si>
  <si>
    <t xml:space="preserve">Durée et fréquence optimales chez les 8 à 11 ans ; usage en classe ou à la maison ; place de l’adulte.</t>
  </si>
  <si>
    <t xml:space="preserve">Contexte béninois</t>
  </si>
  <si>
    <t xml:space="preserve">Résultats PASEC et difficultés courantes au CEP au Bénin ; équipement réel des familles et coût des données ; accès des filles.</t>
  </si>
  <si>
    <t xml:space="preserve">Programme officiel</t>
  </si>
  <si>
    <t xml:space="preserve">Programme officiel de mathématiques (CE2, CM1, CM2) et critères d’homologation des ressources numériques.</t>
  </si>
  <si>
    <t xml:space="preserve">Mémorisation</t>
  </si>
  <si>
    <t xml:space="preserve">Pratique de rappel et espacement en primaire (au-delà de l’essai en 7e année).</t>
  </si>
  <si>
    <t xml:space="preserve">Narration</t>
  </si>
  <si>
    <t xml:space="preserve">Personnalisation et contextualisation des problèmes de maths (histoires) : effets sur la compréhension et limites.</t>
  </si>
  <si>
    <t xml:space="preserve">PRINCIPES DE CONCEPTION DÉRIVÉS DE LA REVUE DOCUMENTAIRE</t>
  </si>
  <si>
    <t xml:space="preserve">Propositions de l’assistant, à valider par le porteur du projet, des enseignants béninois et des tests avec des enfants. Les numéros renvoient à la colonne N° de la feuille « Revue documentaire ».</t>
  </si>
  <si>
    <t xml:space="preserve">Principe</t>
  </si>
  <si>
    <t xml:space="preserve">Fondé sur (revue n°)</t>
  </si>
  <si>
    <t xml:space="preserve">Où il s’applique</t>
  </si>
  <si>
    <t xml:space="preserve">Force de la preuve</t>
  </si>
  <si>
    <t xml:space="preserve">Chaque enfant commence par un test de positionnement court ; le parcours suit son niveau réel, avec retour aux prérequis, pas seulement sa classe déclarée.</t>
  </si>
  <si>
    <t xml:space="preserve">6</t>
  </si>
  <si>
    <t xml:space="preserve">Parcours, moteur de diagnostic</t>
  </si>
  <si>
    <t xml:space="preserve">La leçon repose sur la maîtrise : on passe à la suite quand la notion est acquise (seuil à calibrer), avec remédiation ciblée avant.</t>
  </si>
  <si>
    <t xml:space="preserve">6, 7</t>
  </si>
  <si>
    <t xml:space="preserve">Parcours, quiz</t>
  </si>
  <si>
    <t xml:space="preserve">Fractions : la droite graduée et la comparaison de grandeurs sont centrales dès N17, en plus des parts de gâteau. Fractions et décimaux restent des blocs distincts, reliés explicitement.</t>
  </si>
  <si>
    <t xml:space="preserve">4, 5</t>
  </si>
  <si>
    <t xml:space="preserve">Leçons N17 à N23, vidéos, BD</t>
  </si>
  <si>
    <t xml:space="preserve">Défi avant explication seulement s’il est guidé et si les prérequis sont maîtrisés ; sinon exemple résolu d’abord.</t>
  </si>
  <si>
    <t xml:space="preserve">10</t>
  </si>
  <si>
    <t xml:space="preserve">Ordre des étapes de la leçon</t>
  </si>
  <si>
    <t xml:space="preserve">Élevée (transfert incertain)</t>
  </si>
  <si>
    <t xml:space="preserve">À tester</t>
  </si>
  <si>
    <t xml:space="preserve">L’histoire est intégrée au calcul : les objets de l’histoire sont les objets des maths ; pas d’animation décorative pendant la résolution.</t>
  </si>
  <si>
    <t xml:space="preserve">8</t>
  </si>
  <si>
    <t xml:space="preserve">BD, écrans de jeu, illustrations</t>
  </si>
  <si>
    <t xml:space="preserve">Vidéos de 2 à 4 minutes, une idée par vidéo, ton informel, tracé à la main avec voix ; capsules séparées pour les notions complexes.</t>
  </si>
  <si>
    <t xml:space="preserve">12</t>
  </si>
  <si>
    <t xml:space="preserve">Vidéos</t>
  </si>
  <si>
    <t xml:space="preserve">Séance type d’environ 15 à 30 minutes, avec une fin claire et un suspense narratif.</t>
  </si>
  <si>
    <t xml:space="preserve">7</t>
  </si>
  <si>
    <t xml:space="preserve">Conception des séances</t>
  </si>
  <si>
    <t xml:space="preserve">La rubrique Révision mélange et espace les exercices ; les séries groupées servent au premier apprentissage.</t>
  </si>
  <si>
    <t xml:space="preserve">9</t>
  </si>
  <si>
    <t xml:space="preserve">Révision, quiz</t>
  </si>
  <si>
    <t xml:space="preserve">Élevée (collège)</t>
  </si>
  <si>
    <t xml:space="preserve">Révision libre pour les notions déjà travaillées ; parcours guidé et recommandations pour les nouvelles.</t>
  </si>
  <si>
    <t xml:space="preserve">13</t>
  </si>
  <si>
    <t xml:space="preserve">Interface, rubrique Révision</t>
  </si>
  <si>
    <t xml:space="preserve">Mathéo donne des indices avant la solution, exige un essai de l’enfant, montre un exemple similaire, propose « Vérifie ma réponse ».</t>
  </si>
  <si>
    <t xml:space="preserve">1, 2</t>
  </si>
  <si>
    <t xml:space="preserve">L’IA conversationnelle est réservée à des contextes supervisés (classe ou compte parent) au départ ; avis juridique avant ouverture.</t>
  </si>
  <si>
    <t xml:space="preserve">2, 3</t>
  </si>
  <si>
    <t xml:space="preserve">IA tutrice, gouvernance</t>
  </si>
  <si>
    <t xml:space="preserve">L’évaluation finale (Boss, CEP blanc) se fait sans IA pour mesurer l’apprentissage réel.</t>
  </si>
  <si>
    <t xml:space="preserve">1</t>
  </si>
  <si>
    <t xml:space="preserve">Boss, CEP</t>
  </si>
  <si>
    <t xml:space="preserve">Récompenses liées à la progression personnelle et à la coopération ; pas de classement compétitif ; pas de pression pour rester connecté.</t>
  </si>
  <si>
    <t xml:space="preserve">11, 3</t>
  </si>
  <si>
    <t xml:space="preserve">Système de récompenses, IA</t>
  </si>
  <si>
    <t xml:space="preserve">Audio en langue de l’enfant (français, et langues locales à étudier) et usage en petit groupe possible.</t>
  </si>
  <si>
    <t xml:space="preserve">Voix, interface, mode classe</t>
  </si>
  <si>
    <t xml:space="preserve">Faible à moyenne</t>
  </si>
  <si>
    <t xml:space="preserve">Prévoir un mode classe avec un enseignant qui anime, comme dans les essais réussis.</t>
  </si>
  <si>
    <t xml:space="preserve">2, 7</t>
  </si>
  <si>
    <t xml:space="preserve">Produit, formation des enseignants</t>
  </si>
  <si>
    <t xml:space="preserve">Contrainte matérielle : tablette de référence à 3 Go de RAM et 32 Go de stockage. Application légère, contenus téléchargés par niveau, pas d’IA embarquée, voix et animations pré-générées, saisie à l’écran plutôt que photo si la caméra est faible.</t>
  </si>
  <si>
    <t xml:space="preserve">Contrainte du projet (porteur)</t>
  </si>
  <si>
    <t xml:space="preserve">Architecture, production des médias, IA</t>
  </si>
  <si>
    <t xml:space="preserve">Contrainte technique</t>
  </si>
  <si>
    <t xml:space="preserve">BUDGET D’EXPLOITATION – IA SANS LIMITE DE QUESTIONS NI DE PHOTOS</t>
  </si>
  <si>
    <t xml:space="preserve">Estimation de l’assistant. Cellules jaunes à fond bleu : hypothèses à modifier. Tarifs de l’API de DeepSeek V4 Flash (texte) et de sa version Vision expérimentale (photos), sept. 2026, à revérifier. Hors développement, contenus, personnel, assistance.</t>
  </si>
  <si>
    <t xml:space="preserve">Paramètre commun</t>
  </si>
  <si>
    <t xml:space="preserve">Élèves année 1</t>
  </si>
  <si>
    <t xml:space="preserve">Décision du porteur du projet.</t>
  </si>
  <si>
    <t xml:space="preserve">Élèves année 2</t>
  </si>
  <si>
    <t xml:space="preserve">Jours d’usage par mois</t>
  </si>
  <si>
    <t xml:space="preserve">Prudent : inclut les week-ends.</t>
  </si>
  <si>
    <t xml:space="preserve">Mois d’usage par an</t>
  </si>
  <si>
    <t xml:space="preserve">Hypothèse : année scolaire.</t>
  </si>
  <si>
    <t xml:space="preserve">Prix texte en entrée ($/M tokens)</t>
  </si>
  <si>
    <t xml:space="preserve">DeepSeek V4 Flash ; les sources varient.</t>
  </si>
  <si>
    <t xml:space="preserve">Prix texte en sortie ($/M tokens)</t>
  </si>
  <si>
    <t xml:space="preserve">Idem.</t>
  </si>
  <si>
    <t xml:space="preserve">Prix vision en entrée ($/M tokens)</t>
  </si>
  <si>
    <t xml:space="preserve">Version Vision expérimentale (août 2026).</t>
  </si>
  <si>
    <t xml:space="preserve">Prix vision en sortie ($/M tokens)</t>
  </si>
  <si>
    <t xml:space="preserve">Tokens d’entrée par question texte</t>
  </si>
  <si>
    <t xml:space="preserve">Hypothèse (consigne + contexte + question).</t>
  </si>
  <si>
    <t xml:space="preserve">Tokens de sortie par réponse texte</t>
  </si>
  <si>
    <t xml:space="preserve">Hypothèse. Réponses courtes = moins cher.</t>
  </si>
  <si>
    <t xml:space="preserve">Tokens d’entrée par question photo</t>
  </si>
  <si>
    <t xml:space="preserve">Hypothèse (image + consigne).</t>
  </si>
  <si>
    <t xml:space="preserve">Tokens de sortie par réponse photo</t>
  </si>
  <si>
    <t xml:space="preserve">Hypothèse.</t>
  </si>
  <si>
    <t xml:space="preserve">Infrastructure ($/mois)</t>
  </si>
  <si>
    <t xml:space="preserve">Serveurs, sauvegardes, domaine : estimation, à remplacer par des devis béninois.</t>
  </si>
  <si>
    <t xml:space="preserve">Coût d’une question texte ($)</t>
  </si>
  <si>
    <t xml:space="preserve">Coût d’une question photo ($)</t>
  </si>
  <si>
    <t xml:space="preserve">Scénario</t>
  </si>
  <si>
    <t xml:space="preserve">Moyen</t>
  </si>
  <si>
    <t xml:space="preserve">Intense</t>
  </si>
  <si>
    <t xml:space="preserve">Moyen optimisé</t>
  </si>
  <si>
    <t xml:space="preserve">Intense optimisé</t>
  </si>
  <si>
    <t xml:space="preserve">Part d’élèves actifs par jour</t>
  </si>
  <si>
    <t xml:space="preserve">Interactions par élève actif et par jour</t>
  </si>
  <si>
    <t xml:space="preserve">Part des interactions avec photo</t>
  </si>
  <si>
    <t xml:space="preserve">Part des réponses réutilisées (exercices identiques déjà expliqués)</t>
  </si>
  <si>
    <t xml:space="preserve">Économie sur le reste (cache de consigne, réponses courtes)</t>
  </si>
  <si>
    <t xml:space="preserve">Coût moyen par interaction ($)</t>
  </si>
  <si>
    <t xml:space="preserve">Interactions par jour, année 1</t>
  </si>
  <si>
    <t xml:space="preserve">Interactions par jour, année 2</t>
  </si>
  <si>
    <t xml:space="preserve">Coût IA par mois, année 1 ($)</t>
  </si>
  <si>
    <t xml:space="preserve">Coût IA par mois, année 2 ($)</t>
  </si>
  <si>
    <t xml:space="preserve">Total par mois, année 1 ($) avec infrastructure</t>
  </si>
  <si>
    <t xml:space="preserve">Total par mois, année 2 ($) avec infrastructure</t>
  </si>
  <si>
    <t xml:space="preserve">Coût annuel, année 1 ($)</t>
  </si>
  <si>
    <t xml:space="preserve">Coût annuel, année 2 ($)</t>
  </si>
  <si>
    <t xml:space="preserve">Coût par élève et par an, année 1 ($)</t>
  </si>
  <si>
    <t xml:space="preserve">Coût par élève et par an, année 2 ($)</t>
  </si>
  <si>
    <t xml:space="preserve">Lecture : les colonnes « optimisé » supposent que la réutilisation des réponses et le cache réduisent la facture. Ce sont des hypothèses à mesurer pendant le pilote, pas des résultats.</t>
  </si>
  <si>
    <t xml:space="preserve">Aucune limite d’usage n’est visible pour l’élève. Les garde-fous sont techniques : limite par minute, taille maximale des photos, détection de robots, plafond de sécurité très élevé qui bascule vers les réponses en cache plutôt que de bloquer.</t>
  </si>
</sst>
</file>

<file path=xl/styles.xml><?xml version="1.0" encoding="utf-8"?>
<styleSheet xmlns="http://schemas.openxmlformats.org/spreadsheetml/2006/main">
  <numFmts count="14">
    <numFmt numFmtId="164" formatCode="General"/>
    <numFmt numFmtId="165" formatCode="0"/>
    <numFmt numFmtId="166" formatCode="0.0%"/>
    <numFmt numFmtId="167" formatCode="0%"/>
    <numFmt numFmtId="168" formatCode="General"/>
    <numFmt numFmtId="169" formatCode="yyyy\-mm\-dd"/>
    <numFmt numFmtId="170" formatCode="#,##0.00"/>
    <numFmt numFmtId="171" formatCode="0.00"/>
    <numFmt numFmtId="172" formatCode="#,##0"/>
    <numFmt numFmtId="173" formatCode="@"/>
    <numFmt numFmtId="174" formatCode="0.0000"/>
    <numFmt numFmtId="175" formatCode="0.000"/>
    <numFmt numFmtId="176" formatCode="0.00000"/>
    <numFmt numFmtId="177" formatCode="0.000000"/>
  </numFmts>
  <fonts count="16">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name val="Arial"/>
      <family val="0"/>
      <charset val="1"/>
    </font>
    <font>
      <b val="true"/>
      <sz val="10"/>
      <name val="Arial"/>
      <family val="0"/>
      <charset val="1"/>
    </font>
    <font>
      <b val="true"/>
      <sz val="12"/>
      <name val="Arial"/>
      <family val="0"/>
      <charset val="1"/>
    </font>
    <font>
      <b val="true"/>
      <sz val="10"/>
      <color rgb="FFFFFFFF"/>
      <name val="Arial"/>
      <family val="0"/>
      <charset val="1"/>
    </font>
    <font>
      <sz val="10"/>
      <name val="Arial"/>
      <family val="0"/>
      <charset val="1"/>
    </font>
    <font>
      <b val="true"/>
      <sz val="18"/>
      <color rgb="FF000000"/>
      <name val="Calibri"/>
      <family val="2"/>
    </font>
    <font>
      <sz val="10"/>
      <color rgb="FF000000"/>
      <name val="Calibri"/>
      <family val="2"/>
    </font>
    <font>
      <b val="true"/>
      <sz val="12"/>
      <color rgb="FF1F4E78"/>
      <name val="Arial"/>
      <family val="0"/>
      <charset val="1"/>
    </font>
    <font>
      <sz val="10"/>
      <color rgb="FF0000FF"/>
      <name val="Arial"/>
      <family val="0"/>
      <charset val="1"/>
    </font>
    <font>
      <b val="true"/>
      <sz val="14"/>
      <color rgb="FF1F4E78"/>
      <name val="Arial"/>
      <family val="0"/>
      <charset val="1"/>
    </font>
    <font>
      <b val="true"/>
      <sz val="14"/>
      <name val="Arial"/>
      <family val="0"/>
      <charset val="1"/>
    </font>
  </fonts>
  <fills count="5">
    <fill>
      <patternFill patternType="none"/>
    </fill>
    <fill>
      <patternFill patternType="gray125"/>
    </fill>
    <fill>
      <patternFill patternType="solid">
        <fgColor rgb="FFDDEBF7"/>
        <bgColor rgb="FFE7E6E6"/>
      </patternFill>
    </fill>
    <fill>
      <patternFill patternType="solid">
        <fgColor rgb="FF1F4E78"/>
        <bgColor rgb="FF003366"/>
      </patternFill>
    </fill>
    <fill>
      <patternFill patternType="solid">
        <fgColor rgb="FFFFF2CC"/>
        <bgColor rgb="FFF9F9F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9" fontId="13" fillId="4" borderId="1" xfId="0" applyFont="true" applyBorder="true" applyAlignment="true" applyProtection="false">
      <alignment horizontal="general" vertical="top" textRotation="0" wrapText="true" indent="0" shrinkToFit="false"/>
      <protection locked="true" hidden="false"/>
    </xf>
    <xf numFmtId="169" fontId="9" fillId="0" borderId="1" xfId="0" applyFont="true" applyBorder="true" applyAlignment="true" applyProtection="false">
      <alignment horizontal="general" vertical="top" textRotation="0" wrapText="tru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70" fontId="13" fillId="4" borderId="1" xfId="0" applyFont="true" applyBorder="true" applyAlignment="false" applyProtection="false">
      <alignment horizontal="general" vertical="bottom" textRotation="0" wrapText="false" indent="0" shrinkToFit="false"/>
      <protection locked="true" hidden="false"/>
    </xf>
    <xf numFmtId="171" fontId="13" fillId="4" borderId="1" xfId="0" applyFont="true" applyBorder="true" applyAlignment="false" applyProtection="false">
      <alignment horizontal="general" vertical="bottom" textRotation="0" wrapText="false" indent="0" shrinkToFit="false"/>
      <protection locked="true" hidden="false"/>
    </xf>
    <xf numFmtId="167" fontId="13" fillId="4" borderId="1" xfId="0" applyFont="true" applyBorder="true" applyAlignment="false" applyProtection="false">
      <alignment horizontal="general" vertical="bottom" textRotation="0" wrapText="false" indent="0" shrinkToFit="false"/>
      <protection locked="true" hidden="false"/>
    </xf>
    <xf numFmtId="172" fontId="13" fillId="4"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74" fontId="6" fillId="0" borderId="1" xfId="0" applyFont="true" applyBorder="true" applyAlignment="false" applyProtection="false">
      <alignment horizontal="general" vertical="bottom" textRotation="0" wrapText="false" indent="0" shrinkToFit="false"/>
      <protection locked="true" hidden="false"/>
    </xf>
    <xf numFmtId="169" fontId="13" fillId="4"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75" fontId="13" fillId="4"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6" fontId="6" fillId="0" borderId="1" xfId="0" applyFont="true" applyBorder="true" applyAlignment="false" applyProtection="false">
      <alignment horizontal="general" vertical="bottom" textRotation="0" wrapText="false" indent="0" shrinkToFit="false"/>
      <protection locked="true" hidden="false"/>
    </xf>
    <xf numFmtId="167" fontId="13" fillId="4" borderId="1" xfId="0" applyFont="true" applyBorder="true" applyAlignment="true" applyProtection="false">
      <alignment horizontal="center" vertical="center" textRotation="0" wrapText="true" indent="0" shrinkToFit="false"/>
      <protection locked="true" hidden="false"/>
    </xf>
    <xf numFmtId="165" fontId="13" fillId="4"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77" fontId="9" fillId="0" borderId="1" xfId="0" applyFont="true" applyBorder="true" applyAlignment="true" applyProtection="false">
      <alignment horizontal="center" vertical="center" textRotation="0" wrapText="true" indent="0" shrinkToFit="false"/>
      <protection locked="true" hidden="false"/>
    </xf>
    <xf numFmtId="172" fontId="9" fillId="0" borderId="1" xfId="0" applyFont="true" applyBorder="true" applyAlignment="true" applyProtection="false">
      <alignment horizontal="center" vertical="center" textRotation="0" wrapText="true" indent="0" shrinkToFit="false"/>
      <protection locked="true" hidden="false"/>
    </xf>
    <xf numFmtId="171" fontId="9"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0000FF"/>
          <bgColor rgb="FF000000"/>
        </patternFill>
      </fill>
    </dxf>
    <dxf>
      <fill>
        <patternFill patternType="solid">
          <fgColor rgb="FFE7E6E6"/>
          <bgColor rgb="FF000000"/>
        </patternFill>
      </fill>
    </dxf>
    <dxf>
      <fill>
        <patternFill patternType="solid">
          <fgColor rgb="FFFFE699"/>
          <bgColor rgb="FF000000"/>
        </patternFill>
      </fill>
    </dxf>
    <dxf>
      <fill>
        <patternFill patternType="solid">
          <fgColor rgb="FFFFF2CC"/>
          <bgColor rgb="FF000000"/>
        </patternFill>
      </fill>
    </dxf>
    <dxf>
      <fill>
        <patternFill>
          <bgColor rgb="FFE7E6E6"/>
        </patternFill>
      </fill>
    </dxf>
    <dxf>
      <fill>
        <patternFill>
          <bgColor rgb="FFFFE699"/>
        </patternFill>
      </fill>
    </dxf>
    <dxf>
      <fill>
        <patternFill>
          <bgColor rgb="FFBDD7EE"/>
        </patternFill>
      </fill>
    </dxf>
    <dxf>
      <fill>
        <patternFill>
          <bgColor rgb="FFC6E0B4"/>
        </patternFill>
      </fill>
    </dxf>
    <dxf>
      <fill>
        <patternFill>
          <bgColor rgb="FFF4B084"/>
        </patternFill>
      </fill>
    </dxf>
    <dxf>
      <fill>
        <patternFill>
          <bgColor rgb="FFFFD966"/>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9F9F9"/>
      <rgbColor rgb="FFC6E0B4"/>
      <rgbColor rgb="FFFFE699"/>
      <rgbColor rgb="FFD9D9D9"/>
      <rgbColor rgb="FFF4B084"/>
      <rgbColor rgb="FFE7E6E6"/>
      <rgbColor rgb="FFFFD966"/>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Avancement moyen par domaine</a:t>
            </a:r>
          </a:p>
        </c:rich>
      </c:tx>
      <c:overlay val="0"/>
      <c:spPr>
        <a:noFill/>
        <a:ln w="0">
          <a:noFill/>
        </a:ln>
      </c:spPr>
    </c:title>
    <c:autoTitleDeleted val="0"/>
    <c:plotArea>
      <c:barChart>
        <c:barDir val="bar"/>
        <c:grouping val="clustered"/>
        <c:varyColors val="0"/>
        <c:ser>
          <c:idx val="0"/>
          <c:order val="0"/>
          <c:tx>
            <c:strRef>
              <c:f>'Tableau de bord'!C12</c:f>
              <c:strCache>
                <c:ptCount val="1"/>
                <c:pt idx="0">
                  <c:v>Avancement moyen</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'Tableau de bord'!$A$13:$A$23</c:f>
              <c:strCache>
                <c:ptCount val="11"/>
                <c:pt idx="0">
                  <c:v>D1 – Numération</c:v>
                </c:pt>
                <c:pt idx="1">
                  <c:v>D2 – Nombres décimaux</c:v>
                </c:pt>
                <c:pt idx="2">
                  <c:v>D3 – Calcul</c:v>
                </c:pt>
                <c:pt idx="3">
                  <c:v>D4 – Fractions</c:v>
                </c:pt>
                <c:pt idx="4">
                  <c:v>D5 – Proportionnalité</c:v>
                </c:pt>
                <c:pt idx="5">
                  <c:v>D6 – Grandeurs et mesures</c:v>
                </c:pt>
                <c:pt idx="6">
                  <c:v>D7 – Géométrie plane</c:v>
                </c:pt>
                <c:pt idx="7">
                  <c:v>D8 – Périmètres et aires</c:v>
                </c:pt>
                <c:pt idx="8">
                  <c:v>D9 – Géométrie dans l’espace</c:v>
                </c:pt>
                <c:pt idx="9">
                  <c:v>D10 – Échelles et agrandissements</c:v>
                </c:pt>
                <c:pt idx="10">
                  <c:v>D11 – Résolution de problèmes</c:v>
                </c:pt>
              </c:strCache>
            </c:strRef>
          </c:cat>
          <c:val>
            <c:numRef>
              <c:f>'Tableau de bord'!$C$13:$C$23</c:f>
              <c:numCache>
                <c:formatCode>0%</c:formatCode>
                <c:ptCount val="11"/>
                <c:pt idx="0">
                  <c:v>0.0681818181818182</c:v>
                </c:pt>
                <c:pt idx="1">
                  <c:v>0.0681818181818182</c:v>
                </c:pt>
                <c:pt idx="2">
                  <c:v>0.0681818181818182</c:v>
                </c:pt>
                <c:pt idx="3">
                  <c:v>0.107792207792208</c:v>
                </c:pt>
                <c:pt idx="4">
                  <c:v>0.0681818181818182</c:v>
                </c:pt>
                <c:pt idx="5">
                  <c:v>0.0681818181818182</c:v>
                </c:pt>
                <c:pt idx="6">
                  <c:v>0.0681818181818182</c:v>
                </c:pt>
                <c:pt idx="7">
                  <c:v>0.0681818181818182</c:v>
                </c:pt>
                <c:pt idx="8">
                  <c:v>0.0681818181818182</c:v>
                </c:pt>
                <c:pt idx="9">
                  <c:v>0.0681818181818182</c:v>
                </c:pt>
                <c:pt idx="10">
                  <c:v>0.0681818181818182</c:v>
                </c:pt>
              </c:numCache>
            </c:numRef>
          </c:val>
        </c:ser>
        <c:gapWidth val="150"/>
        <c:overlap val="0"/>
        <c:axId val="25919525"/>
        <c:axId val="34846385"/>
      </c:barChart>
      <c:catAx>
        <c:axId val="2591952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846385"/>
        <c:crosses val="autoZero"/>
        <c:auto val="1"/>
        <c:lblAlgn val="ctr"/>
        <c:lblOffset val="100"/>
        <c:noMultiLvlLbl val="0"/>
      </c:catAx>
      <c:valAx>
        <c:axId val="34846385"/>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91952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xdr:row>
      <xdr:rowOff>130680</xdr:rowOff>
    </xdr:from>
    <xdr:to>
      <xdr:col>16</xdr:col>
      <xdr:colOff>256320</xdr:colOff>
      <xdr:row>18</xdr:row>
      <xdr:rowOff>19440</xdr:rowOff>
    </xdr:to>
    <xdr:graphicFrame>
      <xdr:nvGraphicFramePr>
        <xdr:cNvPr id="0" name="Chart 1"/>
        <xdr:cNvGraphicFramePr/>
      </xdr:nvGraphicFramePr>
      <xdr:xfrm>
        <a:off x="9351720" y="38088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6" min="2" style="0" width="16"/>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n">
        <f aca="false">COUNTA(Notions!A2:A69)</f>
        <v>68</v>
      </c>
    </row>
    <row r="5" customFormat="false" ht="15" hidden="false" customHeight="false" outlineLevel="0" collapsed="false">
      <c r="A5" s="3" t="s">
        <v>3</v>
      </c>
      <c r="B5" s="5" t="n">
        <f aca="false">AVERAGE(Notions!Q2:Q69)</f>
        <v>0.0722593582887701</v>
      </c>
    </row>
    <row r="6" customFormat="false" ht="15" hidden="false" customHeight="false" outlineLevel="0" collapsed="false">
      <c r="A6" s="3" t="s">
        <v>4</v>
      </c>
      <c r="B6" s="4" t="n">
        <f aca="false">COUNTIF(Notions!R2:R69,"Terminé")</f>
        <v>0</v>
      </c>
    </row>
    <row r="7" customFormat="false" ht="15" hidden="false" customHeight="false" outlineLevel="0" collapsed="false">
      <c r="A7" s="3" t="s">
        <v>5</v>
      </c>
      <c r="B7" s="4" t="n">
        <f aca="false">COUNTIF(Notions!R2:R69,"En cours")</f>
        <v>1</v>
      </c>
    </row>
    <row r="8" customFormat="false" ht="15" hidden="false" customHeight="false" outlineLevel="0" collapsed="false">
      <c r="A8" s="3" t="s">
        <v>6</v>
      </c>
      <c r="B8" s="4" t="n">
        <f aca="false">COUNTIF(Notions!R2:R69,"Non démarré")</f>
        <v>67</v>
      </c>
    </row>
    <row r="9" customFormat="false" ht="15" hidden="false" customHeight="false" outlineLevel="0" collapsed="false">
      <c r="A9" s="3" t="s">
        <v>7</v>
      </c>
      <c r="B9" s="4" t="n">
        <f aca="false">COUNTIF(Notions!G2:G69,"Validé")</f>
        <v>0</v>
      </c>
    </row>
    <row r="10" customFormat="false" ht="15" hidden="false" customHeight="false" outlineLevel="0" collapsed="false">
      <c r="A10" s="3" t="s">
        <v>8</v>
      </c>
      <c r="B10" s="5" t="n">
        <f aca="false">'Budget API'!B22</f>
        <v>0</v>
      </c>
      <c r="C10" s="6" t="str">
        <f aca="false">'Budget API'!B23</f>
        <v>NORMAL</v>
      </c>
    </row>
    <row r="11" customFormat="false" ht="15" hidden="false" customHeight="false" outlineLevel="0" collapsed="false">
      <c r="A11" s="7" t="s">
        <v>9</v>
      </c>
    </row>
    <row r="12" customFormat="false" ht="23.85" hidden="false" customHeight="false" outlineLevel="0" collapsed="false">
      <c r="A12" s="8" t="s">
        <v>10</v>
      </c>
      <c r="B12" s="8" t="s">
        <v>11</v>
      </c>
      <c r="C12" s="8" t="s">
        <v>12</v>
      </c>
      <c r="D12" s="8" t="s">
        <v>13</v>
      </c>
    </row>
    <row r="13" customFormat="false" ht="15" hidden="false" customHeight="false" outlineLevel="0" collapsed="false">
      <c r="A13" s="9" t="s">
        <v>14</v>
      </c>
      <c r="B13" s="9" t="n">
        <f aca="false">COUNTIF(Notions!$B$2:$B$69,A13)</f>
        <v>3</v>
      </c>
      <c r="C13" s="10" t="n">
        <f aca="false">IFERROR(AVERAGEIF(Notions!$B$2:$B$69,A13,Notions!$Q$2:$Q$69),0)</f>
        <v>0.0681818181818182</v>
      </c>
      <c r="D13" s="9" t="n">
        <f aca="false">COUNTIFS(Notions!$B$2:$B$69,A13,Notions!$R$2:$R$69,"Terminé")</f>
        <v>0</v>
      </c>
    </row>
    <row r="14" customFormat="false" ht="15" hidden="false" customHeight="false" outlineLevel="0" collapsed="false">
      <c r="A14" s="9" t="s">
        <v>15</v>
      </c>
      <c r="B14" s="9" t="n">
        <f aca="false">COUNTIF(Notions!$B$2:$B$69,A14)</f>
        <v>4</v>
      </c>
      <c r="C14" s="10" t="n">
        <f aca="false">IFERROR(AVERAGEIF(Notions!$B$2:$B$69,A14,Notions!$Q$2:$Q$69),0)</f>
        <v>0.0681818181818182</v>
      </c>
      <c r="D14" s="9" t="n">
        <f aca="false">COUNTIFS(Notions!$B$2:$B$69,A14,Notions!$R$2:$R$69,"Terminé")</f>
        <v>0</v>
      </c>
    </row>
    <row r="15" customFormat="false" ht="15" hidden="false" customHeight="false" outlineLevel="0" collapsed="false">
      <c r="A15" s="9" t="s">
        <v>16</v>
      </c>
      <c r="B15" s="9" t="n">
        <f aca="false">COUNTIF(Notions!$B$2:$B$69,A15)</f>
        <v>9</v>
      </c>
      <c r="C15" s="10" t="n">
        <f aca="false">IFERROR(AVERAGEIF(Notions!$B$2:$B$69,A15,Notions!$Q$2:$Q$69),0)</f>
        <v>0.0681818181818182</v>
      </c>
      <c r="D15" s="9" t="n">
        <f aca="false">COUNTIFS(Notions!$B$2:$B$69,A15,Notions!$R$2:$R$69,"Terminé")</f>
        <v>0</v>
      </c>
    </row>
    <row r="16" customFormat="false" ht="15" hidden="false" customHeight="false" outlineLevel="0" collapsed="false">
      <c r="A16" s="9" t="s">
        <v>17</v>
      </c>
      <c r="B16" s="9" t="n">
        <f aca="false">COUNTIF(Notions!$B$2:$B$69,A16)</f>
        <v>7</v>
      </c>
      <c r="C16" s="10" t="n">
        <f aca="false">IFERROR(AVERAGEIF(Notions!$B$2:$B$69,A16,Notions!$Q$2:$Q$69),0)</f>
        <v>0.107792207792208</v>
      </c>
      <c r="D16" s="9" t="n">
        <f aca="false">COUNTIFS(Notions!$B$2:$B$69,A16,Notions!$R$2:$R$69,"Terminé")</f>
        <v>0</v>
      </c>
    </row>
    <row r="17" customFormat="false" ht="15" hidden="false" customHeight="false" outlineLevel="0" collapsed="false">
      <c r="A17" s="9" t="s">
        <v>18</v>
      </c>
      <c r="B17" s="9" t="n">
        <f aca="false">COUNTIF(Notions!$B$2:$B$69,A17)</f>
        <v>7</v>
      </c>
      <c r="C17" s="10" t="n">
        <f aca="false">IFERROR(AVERAGEIF(Notions!$B$2:$B$69,A17,Notions!$Q$2:$Q$69),0)</f>
        <v>0.0681818181818182</v>
      </c>
      <c r="D17" s="9" t="n">
        <f aca="false">COUNTIFS(Notions!$B$2:$B$69,A17,Notions!$R$2:$R$69,"Terminé")</f>
        <v>0</v>
      </c>
    </row>
    <row r="18" customFormat="false" ht="15" hidden="false" customHeight="false" outlineLevel="0" collapsed="false">
      <c r="A18" s="9" t="s">
        <v>19</v>
      </c>
      <c r="B18" s="9" t="n">
        <f aca="false">COUNTIF(Notions!$B$2:$B$69,A18)</f>
        <v>9</v>
      </c>
      <c r="C18" s="10" t="n">
        <f aca="false">IFERROR(AVERAGEIF(Notions!$B$2:$B$69,A18,Notions!$Q$2:$Q$69),0)</f>
        <v>0.0681818181818182</v>
      </c>
      <c r="D18" s="9" t="n">
        <f aca="false">COUNTIFS(Notions!$B$2:$B$69,A18,Notions!$R$2:$R$69,"Terminé")</f>
        <v>0</v>
      </c>
    </row>
    <row r="19" customFormat="false" ht="15" hidden="false" customHeight="false" outlineLevel="0" collapsed="false">
      <c r="A19" s="9" t="s">
        <v>20</v>
      </c>
      <c r="B19" s="9" t="n">
        <f aca="false">COUNTIF(Notions!$B$2:$B$69,A19)</f>
        <v>7</v>
      </c>
      <c r="C19" s="10" t="n">
        <f aca="false">IFERROR(AVERAGEIF(Notions!$B$2:$B$69,A19,Notions!$Q$2:$Q$69),0)</f>
        <v>0.0681818181818182</v>
      </c>
      <c r="D19" s="9" t="n">
        <f aca="false">COUNTIFS(Notions!$B$2:$B$69,A19,Notions!$R$2:$R$69,"Terminé")</f>
        <v>0</v>
      </c>
    </row>
    <row r="20" customFormat="false" ht="15" hidden="false" customHeight="false" outlineLevel="0" collapsed="false">
      <c r="A20" s="9" t="s">
        <v>21</v>
      </c>
      <c r="B20" s="9" t="n">
        <f aca="false">COUNTIF(Notions!$B$2:$B$69,A20)</f>
        <v>8</v>
      </c>
      <c r="C20" s="10" t="n">
        <f aca="false">IFERROR(AVERAGEIF(Notions!$B$2:$B$69,A20,Notions!$Q$2:$Q$69),0)</f>
        <v>0.0681818181818182</v>
      </c>
      <c r="D20" s="9" t="n">
        <f aca="false">COUNTIFS(Notions!$B$2:$B$69,A20,Notions!$R$2:$R$69,"Terminé")</f>
        <v>0</v>
      </c>
    </row>
    <row r="21" customFormat="false" ht="15" hidden="false" customHeight="false" outlineLevel="0" collapsed="false">
      <c r="A21" s="9" t="s">
        <v>22</v>
      </c>
      <c r="B21" s="9" t="n">
        <f aca="false">COUNTIF(Notions!$B$2:$B$69,A21)</f>
        <v>3</v>
      </c>
      <c r="C21" s="10" t="n">
        <f aca="false">IFERROR(AVERAGEIF(Notions!$B$2:$B$69,A21,Notions!$Q$2:$Q$69),0)</f>
        <v>0.0681818181818182</v>
      </c>
      <c r="D21" s="9" t="n">
        <f aca="false">COUNTIFS(Notions!$B$2:$B$69,A21,Notions!$R$2:$R$69,"Terminé")</f>
        <v>0</v>
      </c>
    </row>
    <row r="22" customFormat="false" ht="15" hidden="false" customHeight="false" outlineLevel="0" collapsed="false">
      <c r="A22" s="9" t="s">
        <v>23</v>
      </c>
      <c r="B22" s="9" t="n">
        <f aca="false">COUNTIF(Notions!$B$2:$B$69,A22)</f>
        <v>4</v>
      </c>
      <c r="C22" s="10" t="n">
        <f aca="false">IFERROR(AVERAGEIF(Notions!$B$2:$B$69,A22,Notions!$Q$2:$Q$69),0)</f>
        <v>0.0681818181818182</v>
      </c>
      <c r="D22" s="9" t="n">
        <f aca="false">COUNTIFS(Notions!$B$2:$B$69,A22,Notions!$R$2:$R$69,"Terminé")</f>
        <v>0</v>
      </c>
    </row>
    <row r="23" customFormat="false" ht="15" hidden="false" customHeight="false" outlineLevel="0" collapsed="false">
      <c r="A23" s="9" t="s">
        <v>24</v>
      </c>
      <c r="B23" s="9" t="n">
        <f aca="false">COUNTIF(Notions!$B$2:$B$69,A23)</f>
        <v>7</v>
      </c>
      <c r="C23" s="10" t="n">
        <f aca="false">IFERROR(AVERAGEIF(Notions!$B$2:$B$69,A23,Notions!$Q$2:$Q$69),0)</f>
        <v>0.0681818181818182</v>
      </c>
      <c r="D23" s="9" t="n">
        <f aca="false">COUNTIFS(Notions!$B$2:$B$69,A23,Notions!$R$2:$R$69,"Terminé")</f>
        <v>0</v>
      </c>
    </row>
    <row r="25" customFormat="false" ht="15" hidden="false" customHeight="false" outlineLevel="0" collapsed="false">
      <c r="A25" s="7" t="s">
        <v>25</v>
      </c>
    </row>
    <row r="26" customFormat="false" ht="23.85" hidden="false" customHeight="false" outlineLevel="0" collapsed="false">
      <c r="A26" s="8" t="s">
        <v>26</v>
      </c>
      <c r="B26" s="8" t="s">
        <v>11</v>
      </c>
      <c r="C26" s="8" t="s">
        <v>12</v>
      </c>
      <c r="D26" s="8" t="s">
        <v>13</v>
      </c>
    </row>
    <row r="27" customFormat="false" ht="15" hidden="false" customHeight="false" outlineLevel="0" collapsed="false">
      <c r="A27" s="9" t="s">
        <v>27</v>
      </c>
      <c r="B27" s="9" t="n">
        <f aca="false">COUNTIF(Notions!$E$2:$E$69,A27)</f>
        <v>1</v>
      </c>
      <c r="C27" s="10" t="n">
        <f aca="false">IFERROR(AVERAGEIF(Notions!$E$2:$E$69,A27,Notions!$Q$2:$Q$69),0)</f>
        <v>0.345454545454545</v>
      </c>
      <c r="D27" s="9" t="n">
        <f aca="false">COUNTIFS(Notions!$E$2:$E$69,A27,Notions!$R$2:$R$69,"Terminé")</f>
        <v>0</v>
      </c>
    </row>
    <row r="28" customFormat="false" ht="15" hidden="false" customHeight="false" outlineLevel="0" collapsed="false">
      <c r="A28" s="9" t="s">
        <v>28</v>
      </c>
      <c r="B28" s="9" t="n">
        <f aca="false">COUNTIF(Notions!$E$2:$E$69,A28)</f>
        <v>11</v>
      </c>
      <c r="C28" s="10" t="n">
        <f aca="false">IFERROR(AVERAGEIF(Notions!$E$2:$E$69,A28,Notions!$Q$2:$Q$69),0)</f>
        <v>0.0681818181818182</v>
      </c>
      <c r="D28" s="9" t="n">
        <f aca="false">COUNTIFS(Notions!$E$2:$E$69,A28,Notions!$R$2:$R$69,"Terminé")</f>
        <v>0</v>
      </c>
    </row>
    <row r="29" customFormat="false" ht="15" hidden="false" customHeight="false" outlineLevel="0" collapsed="false">
      <c r="A29" s="9" t="s">
        <v>29</v>
      </c>
      <c r="B29" s="9" t="n">
        <f aca="false">COUNTIF(Notions!$E$2:$E$69,A29)</f>
        <v>14</v>
      </c>
      <c r="C29" s="10" t="n">
        <f aca="false">IFERROR(AVERAGEIF(Notions!$E$2:$E$69,A29,Notions!$Q$2:$Q$69),0)</f>
        <v>0.0681818181818182</v>
      </c>
      <c r="D29" s="9" t="n">
        <f aca="false">COUNTIFS(Notions!$E$2:$E$69,A29,Notions!$R$2:$R$69,"Terminé")</f>
        <v>0</v>
      </c>
    </row>
    <row r="30" customFormat="false" ht="15" hidden="false" customHeight="false" outlineLevel="0" collapsed="false">
      <c r="A30" s="9" t="s">
        <v>30</v>
      </c>
      <c r="B30" s="9" t="n">
        <f aca="false">COUNTIF(Notions!$E$2:$E$69,A30)</f>
        <v>7</v>
      </c>
      <c r="C30" s="10" t="n">
        <f aca="false">IFERROR(AVERAGEIF(Notions!$E$2:$E$69,A30,Notions!$Q$2:$Q$69),0)</f>
        <v>0.0681818181818182</v>
      </c>
      <c r="D30" s="9" t="n">
        <f aca="false">COUNTIFS(Notions!$E$2:$E$69,A30,Notions!$R$2:$R$69,"Terminé")</f>
        <v>0</v>
      </c>
    </row>
    <row r="31" customFormat="false" ht="15" hidden="false" customHeight="false" outlineLevel="0" collapsed="false">
      <c r="A31" s="9" t="s">
        <v>31</v>
      </c>
      <c r="B31" s="9" t="n">
        <f aca="false">COUNTIF(Notions!$E$2:$E$69,A31)</f>
        <v>24</v>
      </c>
      <c r="C31" s="10" t="n">
        <f aca="false">IFERROR(AVERAGEIF(Notions!$E$2:$E$69,A31,Notions!$Q$2:$Q$69),0)</f>
        <v>0.0681818181818182</v>
      </c>
      <c r="D31" s="9" t="n">
        <f aca="false">COUNTIFS(Notions!$E$2:$E$69,A31,Notions!$R$2:$R$69,"Terminé")</f>
        <v>0</v>
      </c>
    </row>
    <row r="32" customFormat="false" ht="15" hidden="false" customHeight="false" outlineLevel="0" collapsed="false">
      <c r="A32" s="9" t="s">
        <v>32</v>
      </c>
      <c r="B32" s="9" t="n">
        <f aca="false">COUNTIF(Notions!$E$2:$E$69,A32)</f>
        <v>11</v>
      </c>
      <c r="C32" s="10" t="n">
        <f aca="false">IFERROR(AVERAGEIF(Notions!$E$2:$E$69,A32,Notions!$Q$2:$Q$69),0)</f>
        <v>0.0681818181818182</v>
      </c>
      <c r="D32" s="9" t="n">
        <f aca="false">COUNTIFS(Notions!$E$2:$E$69,A32,Notions!$R$2:$R$69,"Terminé")</f>
        <v>0</v>
      </c>
    </row>
    <row r="34" customFormat="false" ht="15" hidden="false" customHeight="false" outlineLevel="0" collapsed="false">
      <c r="A34" s="7" t="s">
        <v>33</v>
      </c>
    </row>
    <row r="35" customFormat="false" ht="15" hidden="false" customHeight="false" outlineLevel="0" collapsed="false">
      <c r="A35" s="8" t="s">
        <v>34</v>
      </c>
      <c r="B35" s="8" t="s">
        <v>35</v>
      </c>
      <c r="C35" s="8" t="s">
        <v>36</v>
      </c>
      <c r="D35" s="8" t="s">
        <v>37</v>
      </c>
      <c r="E35" s="8" t="s">
        <v>38</v>
      </c>
      <c r="F35" s="8" t="s">
        <v>39</v>
      </c>
    </row>
    <row r="36" customFormat="false" ht="15" hidden="false" customHeight="false" outlineLevel="0" collapsed="false">
      <c r="A36" s="9" t="s">
        <v>40</v>
      </c>
      <c r="B36" s="9" t="n">
        <f aca="false">COUNTIF(Notions!$F$2:$F$69,B$35)</f>
        <v>0</v>
      </c>
      <c r="C36" s="9" t="n">
        <f aca="false">COUNTIF(Notions!$F$2:$F$69,C$35)</f>
        <v>0</v>
      </c>
      <c r="D36" s="9" t="n">
        <f aca="false">COUNTIF(Notions!$F$2:$F$69,D$35)</f>
        <v>68</v>
      </c>
      <c r="E36" s="9" t="n">
        <f aca="false">COUNTIF(Notions!$F$2:$F$69,E$35)</f>
        <v>0</v>
      </c>
      <c r="F36" s="10" t="n">
        <f aca="false">E36/SUM(B36:E36)</f>
        <v>0</v>
      </c>
    </row>
    <row r="37" customFormat="false" ht="15" hidden="false" customHeight="false" outlineLevel="0" collapsed="false">
      <c r="A37" s="9" t="s">
        <v>41</v>
      </c>
      <c r="B37" s="9" t="n">
        <f aca="false">COUNTIF(Notions!$G$2:$G$69,B$35)</f>
        <v>68</v>
      </c>
      <c r="C37" s="9" t="n">
        <f aca="false">COUNTIF(Notions!$G$2:$G$69,C$35)</f>
        <v>0</v>
      </c>
      <c r="D37" s="9" t="n">
        <f aca="false">COUNTIF(Notions!$G$2:$G$69,D$35)</f>
        <v>0</v>
      </c>
      <c r="E37" s="9" t="n">
        <f aca="false">COUNTIF(Notions!$G$2:$G$69,E$35)</f>
        <v>0</v>
      </c>
      <c r="F37" s="10" t="n">
        <f aca="false">E37/SUM(B37:E37)</f>
        <v>0</v>
      </c>
    </row>
    <row r="38" customFormat="false" ht="15" hidden="false" customHeight="false" outlineLevel="0" collapsed="false">
      <c r="A38" s="9" t="s">
        <v>42</v>
      </c>
      <c r="B38" s="9" t="n">
        <f aca="false">COUNTIF(Notions!$H$2:$H$69,B$35)</f>
        <v>67</v>
      </c>
      <c r="C38" s="9" t="n">
        <f aca="false">COUNTIF(Notions!$H$2:$H$69,C$35)</f>
        <v>1</v>
      </c>
      <c r="D38" s="9" t="n">
        <f aca="false">COUNTIF(Notions!$H$2:$H$69,D$35)</f>
        <v>0</v>
      </c>
      <c r="E38" s="9" t="n">
        <f aca="false">COUNTIF(Notions!$H$2:$H$69,E$35)</f>
        <v>0</v>
      </c>
      <c r="F38" s="10" t="n">
        <f aca="false">E38/SUM(B38:E38)</f>
        <v>0</v>
      </c>
    </row>
    <row r="39" customFormat="false" ht="15" hidden="false" customHeight="false" outlineLevel="0" collapsed="false">
      <c r="A39" s="9" t="s">
        <v>43</v>
      </c>
      <c r="B39" s="9" t="n">
        <f aca="false">COUNTIF(Notions!$I$2:$I$69,B$35)</f>
        <v>67</v>
      </c>
      <c r="C39" s="9" t="n">
        <f aca="false">COUNTIF(Notions!$I$2:$I$69,C$35)</f>
        <v>0</v>
      </c>
      <c r="D39" s="9" t="n">
        <f aca="false">COUNTIF(Notions!$I$2:$I$69,D$35)</f>
        <v>1</v>
      </c>
      <c r="E39" s="9" t="n">
        <f aca="false">COUNTIF(Notions!$I$2:$I$69,E$35)</f>
        <v>0</v>
      </c>
      <c r="F39" s="10" t="n">
        <f aca="false">E39/SUM(B39:E39)</f>
        <v>0</v>
      </c>
    </row>
    <row r="40" customFormat="false" ht="15" hidden="false" customHeight="false" outlineLevel="0" collapsed="false">
      <c r="A40" s="9" t="s">
        <v>44</v>
      </c>
      <c r="B40" s="9" t="n">
        <f aca="false">COUNTIF(Notions!$J$2:$J$69,B$35)</f>
        <v>67</v>
      </c>
      <c r="C40" s="9" t="n">
        <f aca="false">COUNTIF(Notions!$J$2:$J$69,C$35)</f>
        <v>0</v>
      </c>
      <c r="D40" s="9" t="n">
        <f aca="false">COUNTIF(Notions!$J$2:$J$69,D$35)</f>
        <v>1</v>
      </c>
      <c r="E40" s="9" t="n">
        <f aca="false">COUNTIF(Notions!$J$2:$J$69,E$35)</f>
        <v>0</v>
      </c>
      <c r="F40" s="10" t="n">
        <f aca="false">E40/SUM(B40:E40)</f>
        <v>0</v>
      </c>
    </row>
    <row r="41" customFormat="false" ht="15" hidden="false" customHeight="false" outlineLevel="0" collapsed="false">
      <c r="A41" s="9" t="s">
        <v>45</v>
      </c>
      <c r="B41" s="9" t="n">
        <f aca="false">COUNTIF(Notions!$K$2:$K$69,B$35)</f>
        <v>68</v>
      </c>
      <c r="C41" s="9" t="n">
        <f aca="false">COUNTIF(Notions!$K$2:$K$69,C$35)</f>
        <v>0</v>
      </c>
      <c r="D41" s="9" t="n">
        <f aca="false">COUNTIF(Notions!$K$2:$K$69,D$35)</f>
        <v>0</v>
      </c>
      <c r="E41" s="9" t="n">
        <f aca="false">COUNTIF(Notions!$K$2:$K$69,E$35)</f>
        <v>0</v>
      </c>
      <c r="F41" s="10" t="n">
        <f aca="false">E41/SUM(B41:E41)</f>
        <v>0</v>
      </c>
    </row>
    <row r="42" customFormat="false" ht="15" hidden="false" customHeight="false" outlineLevel="0" collapsed="false">
      <c r="A42" s="9" t="s">
        <v>46</v>
      </c>
      <c r="B42" s="9" t="n">
        <f aca="false">COUNTIF(Notions!$L$2:$L$69,B$35)</f>
        <v>67</v>
      </c>
      <c r="C42" s="9" t="n">
        <f aca="false">COUNTIF(Notions!$L$2:$L$69,C$35)</f>
        <v>1</v>
      </c>
      <c r="D42" s="9" t="n">
        <f aca="false">COUNTIF(Notions!$L$2:$L$69,D$35)</f>
        <v>0</v>
      </c>
      <c r="E42" s="9" t="n">
        <f aca="false">COUNTIF(Notions!$L$2:$L$69,E$35)</f>
        <v>0</v>
      </c>
      <c r="F42" s="10" t="n">
        <f aca="false">E42/SUM(B42:E42)</f>
        <v>0</v>
      </c>
    </row>
    <row r="43" customFormat="false" ht="15" hidden="false" customHeight="false" outlineLevel="0" collapsed="false">
      <c r="A43" s="9" t="s">
        <v>47</v>
      </c>
      <c r="B43" s="9" t="n">
        <f aca="false">COUNTIF(Notions!$M$2:$M$69,B$35)</f>
        <v>68</v>
      </c>
      <c r="C43" s="9" t="n">
        <f aca="false">COUNTIF(Notions!$M$2:$M$69,C$35)</f>
        <v>0</v>
      </c>
      <c r="D43" s="9" t="n">
        <f aca="false">COUNTIF(Notions!$M$2:$M$69,D$35)</f>
        <v>0</v>
      </c>
      <c r="E43" s="9" t="n">
        <f aca="false">COUNTIF(Notions!$M$2:$M$69,E$35)</f>
        <v>0</v>
      </c>
      <c r="F43" s="10" t="n">
        <f aca="false">E43/SUM(B43:E43)</f>
        <v>0</v>
      </c>
    </row>
    <row r="44" customFormat="false" ht="15" hidden="false" customHeight="false" outlineLevel="0" collapsed="false">
      <c r="A44" s="9" t="s">
        <v>48</v>
      </c>
      <c r="B44" s="9" t="n">
        <f aca="false">COUNTIF(Notions!$N$2:$N$69,B$35)</f>
        <v>68</v>
      </c>
      <c r="C44" s="9" t="n">
        <f aca="false">COUNTIF(Notions!$N$2:$N$69,C$35)</f>
        <v>0</v>
      </c>
      <c r="D44" s="9" t="n">
        <f aca="false">COUNTIF(Notions!$N$2:$N$69,D$35)</f>
        <v>0</v>
      </c>
      <c r="E44" s="9" t="n">
        <f aca="false">COUNTIF(Notions!$N$2:$N$69,E$35)</f>
        <v>0</v>
      </c>
      <c r="F44" s="10" t="n">
        <f aca="false">E44/SUM(B44:E44)</f>
        <v>0</v>
      </c>
    </row>
    <row r="45" customFormat="false" ht="15" hidden="false" customHeight="false" outlineLevel="0" collapsed="false">
      <c r="A45" s="9" t="s">
        <v>49</v>
      </c>
      <c r="B45" s="9" t="n">
        <f aca="false">COUNTIF(Notions!$O$2:$O$69,B$35)</f>
        <v>67</v>
      </c>
      <c r="C45" s="9" t="n">
        <f aca="false">COUNTIF(Notions!$O$2:$O$69,C$35)</f>
        <v>0</v>
      </c>
      <c r="D45" s="9" t="n">
        <f aca="false">COUNTIF(Notions!$O$2:$O$69,D$35)</f>
        <v>1</v>
      </c>
      <c r="E45" s="9" t="n">
        <f aca="false">COUNTIF(Notions!$O$2:$O$69,E$35)</f>
        <v>0</v>
      </c>
      <c r="F45" s="10" t="n">
        <f aca="false">E45/SUM(B45:E45)</f>
        <v>0</v>
      </c>
    </row>
    <row r="46" customFormat="false" ht="15" hidden="false" customHeight="false" outlineLevel="0" collapsed="false">
      <c r="A46" s="9" t="s">
        <v>50</v>
      </c>
      <c r="B46" s="9" t="n">
        <f aca="false">COUNTIF(Notions!$P$2:$P$69,B$35)</f>
        <v>68</v>
      </c>
      <c r="C46" s="9" t="n">
        <f aca="false">COUNTIF(Notions!$P$2:$P$69,C$35)</f>
        <v>0</v>
      </c>
      <c r="D46" s="9" t="n">
        <f aca="false">COUNTIF(Notions!$P$2:$P$69,D$35)</f>
        <v>0</v>
      </c>
      <c r="E46" s="9" t="n">
        <f aca="false">COUNTIF(Notions!$P$2:$P$69,E$35)</f>
        <v>0</v>
      </c>
      <c r="F46" s="10" t="n">
        <f aca="false">E46/SUM(B46:E46)</f>
        <v>0</v>
      </c>
    </row>
    <row r="48" customFormat="false" ht="15" hidden="false" customHeight="false" outlineLevel="0" collapsed="false">
      <c r="A48" s="7" t="s">
        <v>51</v>
      </c>
    </row>
    <row r="49" customFormat="false" ht="15" hidden="false" customHeight="false" outlineLevel="0" collapsed="false">
      <c r="A49" s="8" t="s">
        <v>52</v>
      </c>
      <c r="B49" s="8" t="s">
        <v>53</v>
      </c>
    </row>
    <row r="50" customFormat="false" ht="15" hidden="false" customHeight="false" outlineLevel="0" collapsed="false">
      <c r="A50" s="9" t="s">
        <v>54</v>
      </c>
      <c r="B50" s="11" t="n">
        <f aca="false">COUNTIF(Phasage!E2:E13,"Validé")</f>
        <v>0</v>
      </c>
    </row>
    <row r="51" customFormat="false" ht="15" hidden="false" customHeight="false" outlineLevel="0" collapsed="false">
      <c r="A51" s="9" t="s">
        <v>55</v>
      </c>
      <c r="B51" s="11" t="n">
        <f aca="false">COUNTIF(Phasage!E2:E13,"En cours")</f>
        <v>1</v>
      </c>
    </row>
    <row r="52" customFormat="false" ht="15" hidden="false" customHeight="false" outlineLevel="0" collapsed="false">
      <c r="A52" s="9" t="s">
        <v>56</v>
      </c>
      <c r="B52" s="11" t="str">
        <f aca="false">COUNTIF(Livrables!D2:D26,"Validé")&amp;" / "&amp;COUNTA(Livrables!A2:A26)</f>
        <v>0 / 25</v>
      </c>
    </row>
    <row r="53" customFormat="false" ht="15" hidden="false" customHeight="false" outlineLevel="0" collapsed="false">
      <c r="A53" s="9" t="s">
        <v>57</v>
      </c>
      <c r="B53" s="11" t="n">
        <f aca="false">COUNTIFS(Journal!B2:B200,"Action",Journal!F2:F200,"&lt;&gt;Terminé")</f>
        <v>11</v>
      </c>
    </row>
    <row r="54" customFormat="false" ht="15" hidden="false" customHeight="false" outlineLevel="0" collapsed="false">
      <c r="A54" s="9" t="s">
        <v>58</v>
      </c>
      <c r="B54" s="11" t="n">
        <f aca="false">COUNTIFS(Journal!B2:B200,"Question ouverte",Journal!F2:F200,"&lt;&gt;Terminé")</f>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2" t="s">
        <v>59</v>
      </c>
    </row>
    <row r="2" customFormat="false" ht="15" hidden="false" customHeight="false" outlineLevel="0" collapsed="false">
      <c r="A2" s="13" t="s">
        <v>60</v>
      </c>
    </row>
    <row r="3" customFormat="false" ht="15" hidden="false" customHeight="false" outlineLevel="0" collapsed="false">
      <c r="A3" s="13"/>
    </row>
    <row r="4" customFormat="false" ht="15" hidden="false" customHeight="false" outlineLevel="0" collapsed="false">
      <c r="A4" s="14" t="s">
        <v>61</v>
      </c>
    </row>
    <row r="5" customFormat="false" ht="23.85" hidden="false" customHeight="false" outlineLevel="0" collapsed="false">
      <c r="A5" s="13" t="s">
        <v>62</v>
      </c>
    </row>
    <row r="6" customFormat="false" ht="15" hidden="false" customHeight="false" outlineLevel="0" collapsed="false">
      <c r="A6" s="13" t="s">
        <v>63</v>
      </c>
    </row>
    <row r="7" customFormat="false" ht="15" hidden="false" customHeight="false" outlineLevel="0" collapsed="false">
      <c r="A7" s="13" t="s">
        <v>64</v>
      </c>
    </row>
    <row r="8" customFormat="false" ht="15" hidden="false" customHeight="false" outlineLevel="0" collapsed="false">
      <c r="A8" s="13" t="s">
        <v>65</v>
      </c>
    </row>
    <row r="9" customFormat="false" ht="15" hidden="false" customHeight="false" outlineLevel="0" collapsed="false">
      <c r="A9" s="13" t="s">
        <v>66</v>
      </c>
    </row>
    <row r="10" customFormat="false" ht="15" hidden="false" customHeight="false" outlineLevel="0" collapsed="false">
      <c r="A10" s="13" t="s">
        <v>67</v>
      </c>
    </row>
    <row r="11" customFormat="false" ht="15" hidden="false" customHeight="false" outlineLevel="0" collapsed="false">
      <c r="A11" s="13" t="s">
        <v>68</v>
      </c>
    </row>
    <row r="12" customFormat="false" ht="15" hidden="false" customHeight="false" outlineLevel="0" collapsed="false">
      <c r="A12" s="13"/>
    </row>
    <row r="13" customFormat="false" ht="15" hidden="false" customHeight="false" outlineLevel="0" collapsed="false">
      <c r="A13" s="14" t="s">
        <v>69</v>
      </c>
    </row>
    <row r="14" customFormat="false" ht="23.85" hidden="false" customHeight="false" outlineLevel="0" collapsed="false">
      <c r="A14" s="13" t="s">
        <v>70</v>
      </c>
    </row>
    <row r="15" customFormat="false" ht="15" hidden="false" customHeight="false" outlineLevel="0" collapsed="false">
      <c r="A15" s="13"/>
    </row>
    <row r="16" customFormat="false" ht="15" hidden="false" customHeight="false" outlineLevel="0" collapsed="false">
      <c r="A16" s="14" t="s">
        <v>71</v>
      </c>
    </row>
    <row r="17" customFormat="false" ht="23.85" hidden="false" customHeight="false" outlineLevel="0" collapsed="false">
      <c r="A17" s="13" t="s">
        <v>72</v>
      </c>
    </row>
    <row r="18" customFormat="false" ht="15" hidden="false" customHeight="false" outlineLevel="0" collapsed="false">
      <c r="A18" s="13" t="s">
        <v>73</v>
      </c>
    </row>
    <row r="19" customFormat="false" ht="15" hidden="false" customHeight="false" outlineLevel="0" collapsed="false">
      <c r="A19" s="13" t="s">
        <v>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36"/>
    <col collapsed="false" customWidth="true" hidden="false" outlineLevel="0" max="4" min="4" style="0" width="34"/>
    <col collapsed="false" customWidth="true" hidden="false" outlineLevel="0" max="5" min="5" style="0" width="12"/>
    <col collapsed="false" customWidth="true" hidden="false" outlineLevel="0" max="16" min="6" style="0" width="14"/>
    <col collapsed="false" customWidth="true" hidden="false" outlineLevel="0" max="17" min="17" style="0" width="12"/>
    <col collapsed="false" customWidth="true" hidden="false" outlineLevel="0" max="18" min="18" style="0" width="14"/>
    <col collapsed="false" customWidth="true" hidden="false" outlineLevel="0" max="19" min="19" style="0" width="16"/>
    <col collapsed="false" customWidth="true" hidden="false" outlineLevel="0" max="20" min="20" style="0" width="13"/>
    <col collapsed="false" customWidth="true" hidden="false" outlineLevel="0" max="21" min="21" style="0" width="45"/>
  </cols>
  <sheetData>
    <row r="1" customFormat="false" ht="48" hidden="false" customHeight="true" outlineLevel="0" collapsed="false">
      <c r="A1" s="8" t="s">
        <v>75</v>
      </c>
      <c r="B1" s="8" t="s">
        <v>10</v>
      </c>
      <c r="C1" s="8" t="s">
        <v>76</v>
      </c>
      <c r="D1" s="8" t="s">
        <v>77</v>
      </c>
      <c r="E1" s="8" t="s">
        <v>26</v>
      </c>
      <c r="F1" s="8" t="s">
        <v>40</v>
      </c>
      <c r="G1" s="8" t="s">
        <v>41</v>
      </c>
      <c r="H1" s="8" t="s">
        <v>42</v>
      </c>
      <c r="I1" s="8" t="s">
        <v>43</v>
      </c>
      <c r="J1" s="8" t="s">
        <v>44</v>
      </c>
      <c r="K1" s="8" t="s">
        <v>45</v>
      </c>
      <c r="L1" s="8" t="s">
        <v>46</v>
      </c>
      <c r="M1" s="8" t="s">
        <v>47</v>
      </c>
      <c r="N1" s="8" t="s">
        <v>48</v>
      </c>
      <c r="O1" s="8" t="s">
        <v>49</v>
      </c>
      <c r="P1" s="8" t="s">
        <v>50</v>
      </c>
      <c r="Q1" s="8" t="s">
        <v>78</v>
      </c>
      <c r="R1" s="8" t="s">
        <v>79</v>
      </c>
      <c r="S1" s="8" t="s">
        <v>80</v>
      </c>
      <c r="T1" s="8" t="s">
        <v>81</v>
      </c>
      <c r="U1" s="8" t="s">
        <v>82</v>
      </c>
    </row>
    <row r="2" customFormat="false" ht="23.85" hidden="false" customHeight="false" outlineLevel="0" collapsed="false">
      <c r="A2" s="15" t="s">
        <v>83</v>
      </c>
      <c r="B2" s="15" t="s">
        <v>14</v>
      </c>
      <c r="C2" s="15" t="s">
        <v>84</v>
      </c>
      <c r="D2" s="15" t="s">
        <v>85</v>
      </c>
      <c r="E2" s="15" t="s">
        <v>29</v>
      </c>
      <c r="F2" s="16" t="s">
        <v>37</v>
      </c>
      <c r="G2" s="16" t="s">
        <v>35</v>
      </c>
      <c r="H2" s="16" t="s">
        <v>35</v>
      </c>
      <c r="I2" s="16" t="s">
        <v>35</v>
      </c>
      <c r="J2" s="16" t="s">
        <v>35</v>
      </c>
      <c r="K2" s="16" t="s">
        <v>35</v>
      </c>
      <c r="L2" s="16" t="s">
        <v>35</v>
      </c>
      <c r="M2" s="16" t="s">
        <v>35</v>
      </c>
      <c r="N2" s="16" t="s">
        <v>35</v>
      </c>
      <c r="O2" s="16" t="s">
        <v>35</v>
      </c>
      <c r="P2" s="16" t="s">
        <v>35</v>
      </c>
      <c r="Q2" s="17" t="n">
        <f aca="false">(COUNTIF(F2:P2,Paramètres!$A$7)*Paramètres!$B$7+COUNTIF(F2:P2,Paramètres!$A$6)*Paramètres!$B$6+COUNTIF(F2:P2,Paramètres!$A$5)*Paramètres!$B$5)/COLUMNS(F2:P2)</f>
        <v>0.0681818181818182</v>
      </c>
      <c r="R2" s="18" t="str">
        <f aca="false">IF(Q2&gt;=1,"Terminé",IF(COUNTIF(H2:P2,Paramètres!$A$4)=9,"Non démarré","En cours"))</f>
        <v>Non démarré</v>
      </c>
      <c r="S2" s="19"/>
      <c r="T2" s="20"/>
      <c r="U2" s="19"/>
    </row>
    <row r="3" customFormat="false" ht="23.85" hidden="false" customHeight="false" outlineLevel="0" collapsed="false">
      <c r="A3" s="15" t="s">
        <v>86</v>
      </c>
      <c r="B3" s="15" t="s">
        <v>14</v>
      </c>
      <c r="C3" s="15" t="s">
        <v>87</v>
      </c>
      <c r="D3" s="15" t="s">
        <v>85</v>
      </c>
      <c r="E3" s="15" t="s">
        <v>29</v>
      </c>
      <c r="F3" s="16" t="s">
        <v>37</v>
      </c>
      <c r="G3" s="16" t="s">
        <v>35</v>
      </c>
      <c r="H3" s="16" t="s">
        <v>35</v>
      </c>
      <c r="I3" s="16" t="s">
        <v>35</v>
      </c>
      <c r="J3" s="16" t="s">
        <v>35</v>
      </c>
      <c r="K3" s="16" t="s">
        <v>35</v>
      </c>
      <c r="L3" s="16" t="s">
        <v>35</v>
      </c>
      <c r="M3" s="16" t="s">
        <v>35</v>
      </c>
      <c r="N3" s="16" t="s">
        <v>35</v>
      </c>
      <c r="O3" s="16" t="s">
        <v>35</v>
      </c>
      <c r="P3" s="16" t="s">
        <v>35</v>
      </c>
      <c r="Q3" s="17" t="n">
        <f aca="false">(COUNTIF(F3:P3,Paramètres!$A$7)*Paramètres!$B$7+COUNTIF(F3:P3,Paramètres!$A$6)*Paramètres!$B$6+COUNTIF(F3:P3,Paramètres!$A$5)*Paramètres!$B$5)/COLUMNS(F3:P3)</f>
        <v>0.0681818181818182</v>
      </c>
      <c r="R3" s="18" t="str">
        <f aca="false">IF(Q3&gt;=1,"Terminé",IF(COUNTIF(H3:P3,Paramètres!$A$4)=9,"Non démarré","En cours"))</f>
        <v>Non démarré</v>
      </c>
      <c r="S3" s="19"/>
      <c r="T3" s="20"/>
      <c r="U3" s="19"/>
    </row>
    <row r="4" customFormat="false" ht="23.85" hidden="false" customHeight="false" outlineLevel="0" collapsed="false">
      <c r="A4" s="15" t="s">
        <v>88</v>
      </c>
      <c r="B4" s="15" t="s">
        <v>14</v>
      </c>
      <c r="C4" s="15" t="s">
        <v>89</v>
      </c>
      <c r="D4" s="15" t="s">
        <v>85</v>
      </c>
      <c r="E4" s="15" t="s">
        <v>29</v>
      </c>
      <c r="F4" s="16" t="s">
        <v>37</v>
      </c>
      <c r="G4" s="16" t="s">
        <v>35</v>
      </c>
      <c r="H4" s="16" t="s">
        <v>35</v>
      </c>
      <c r="I4" s="16" t="s">
        <v>35</v>
      </c>
      <c r="J4" s="16" t="s">
        <v>35</v>
      </c>
      <c r="K4" s="16" t="s">
        <v>35</v>
      </c>
      <c r="L4" s="16" t="s">
        <v>35</v>
      </c>
      <c r="M4" s="16" t="s">
        <v>35</v>
      </c>
      <c r="N4" s="16" t="s">
        <v>35</v>
      </c>
      <c r="O4" s="16" t="s">
        <v>35</v>
      </c>
      <c r="P4" s="16" t="s">
        <v>35</v>
      </c>
      <c r="Q4" s="17" t="n">
        <f aca="false">(COUNTIF(F4:P4,Paramètres!$A$7)*Paramètres!$B$7+COUNTIF(F4:P4,Paramètres!$A$6)*Paramètres!$B$6+COUNTIF(F4:P4,Paramètres!$A$5)*Paramètres!$B$5)/COLUMNS(F4:P4)</f>
        <v>0.0681818181818182</v>
      </c>
      <c r="R4" s="18" t="str">
        <f aca="false">IF(Q4&gt;=1,"Terminé",IF(COUNTIF(H4:P4,Paramètres!$A$4)=9,"Non démarré","En cours"))</f>
        <v>Non démarré</v>
      </c>
      <c r="S4" s="19"/>
      <c r="T4" s="20"/>
      <c r="U4" s="19"/>
    </row>
    <row r="5" customFormat="false" ht="15" hidden="false" customHeight="false" outlineLevel="0" collapsed="false">
      <c r="A5" s="15" t="s">
        <v>90</v>
      </c>
      <c r="B5" s="15" t="s">
        <v>15</v>
      </c>
      <c r="C5" s="15" t="s">
        <v>91</v>
      </c>
      <c r="D5" s="15" t="s">
        <v>92</v>
      </c>
      <c r="E5" s="15" t="s">
        <v>29</v>
      </c>
      <c r="F5" s="16" t="s">
        <v>37</v>
      </c>
      <c r="G5" s="16" t="s">
        <v>35</v>
      </c>
      <c r="H5" s="16" t="s">
        <v>35</v>
      </c>
      <c r="I5" s="16" t="s">
        <v>35</v>
      </c>
      <c r="J5" s="16" t="s">
        <v>35</v>
      </c>
      <c r="K5" s="16" t="s">
        <v>35</v>
      </c>
      <c r="L5" s="16" t="s">
        <v>35</v>
      </c>
      <c r="M5" s="16" t="s">
        <v>35</v>
      </c>
      <c r="N5" s="16" t="s">
        <v>35</v>
      </c>
      <c r="O5" s="16" t="s">
        <v>35</v>
      </c>
      <c r="P5" s="16" t="s">
        <v>35</v>
      </c>
      <c r="Q5" s="17" t="n">
        <f aca="false">(COUNTIF(F5:P5,Paramètres!$A$7)*Paramètres!$B$7+COUNTIF(F5:P5,Paramètres!$A$6)*Paramètres!$B$6+COUNTIF(F5:P5,Paramètres!$A$5)*Paramètres!$B$5)/COLUMNS(F5:P5)</f>
        <v>0.0681818181818182</v>
      </c>
      <c r="R5" s="18" t="str">
        <f aca="false">IF(Q5&gt;=1,"Terminé",IF(COUNTIF(H5:P5,Paramètres!$A$4)=9,"Non démarré","En cours"))</f>
        <v>Non démarré</v>
      </c>
      <c r="S5" s="19"/>
      <c r="T5" s="20"/>
      <c r="U5" s="19"/>
    </row>
    <row r="6" customFormat="false" ht="15" hidden="false" customHeight="false" outlineLevel="0" collapsed="false">
      <c r="A6" s="15" t="s">
        <v>93</v>
      </c>
      <c r="B6" s="15" t="s">
        <v>15</v>
      </c>
      <c r="C6" s="15" t="s">
        <v>94</v>
      </c>
      <c r="D6" s="15" t="s">
        <v>92</v>
      </c>
      <c r="E6" s="15" t="s">
        <v>29</v>
      </c>
      <c r="F6" s="16" t="s">
        <v>37</v>
      </c>
      <c r="G6" s="16" t="s">
        <v>35</v>
      </c>
      <c r="H6" s="16" t="s">
        <v>35</v>
      </c>
      <c r="I6" s="16" t="s">
        <v>35</v>
      </c>
      <c r="J6" s="16" t="s">
        <v>35</v>
      </c>
      <c r="K6" s="16" t="s">
        <v>35</v>
      </c>
      <c r="L6" s="16" t="s">
        <v>35</v>
      </c>
      <c r="M6" s="16" t="s">
        <v>35</v>
      </c>
      <c r="N6" s="16" t="s">
        <v>35</v>
      </c>
      <c r="O6" s="16" t="s">
        <v>35</v>
      </c>
      <c r="P6" s="16" t="s">
        <v>35</v>
      </c>
      <c r="Q6" s="17" t="n">
        <f aca="false">(COUNTIF(F6:P6,Paramètres!$A$7)*Paramètres!$B$7+COUNTIF(F6:P6,Paramètres!$A$6)*Paramètres!$B$6+COUNTIF(F6:P6,Paramètres!$A$5)*Paramètres!$B$5)/COLUMNS(F6:P6)</f>
        <v>0.0681818181818182</v>
      </c>
      <c r="R6" s="18" t="str">
        <f aca="false">IF(Q6&gt;=1,"Terminé",IF(COUNTIF(H6:P6,Paramètres!$A$4)=9,"Non démarré","En cours"))</f>
        <v>Non démarré</v>
      </c>
      <c r="S6" s="19"/>
      <c r="T6" s="20"/>
      <c r="U6" s="19"/>
    </row>
    <row r="7" customFormat="false" ht="15" hidden="false" customHeight="false" outlineLevel="0" collapsed="false">
      <c r="A7" s="15" t="s">
        <v>95</v>
      </c>
      <c r="B7" s="15" t="s">
        <v>15</v>
      </c>
      <c r="C7" s="15" t="s">
        <v>96</v>
      </c>
      <c r="D7" s="15" t="s">
        <v>92</v>
      </c>
      <c r="E7" s="15" t="s">
        <v>29</v>
      </c>
      <c r="F7" s="16" t="s">
        <v>37</v>
      </c>
      <c r="G7" s="16" t="s">
        <v>35</v>
      </c>
      <c r="H7" s="16" t="s">
        <v>35</v>
      </c>
      <c r="I7" s="16" t="s">
        <v>35</v>
      </c>
      <c r="J7" s="16" t="s">
        <v>35</v>
      </c>
      <c r="K7" s="16" t="s">
        <v>35</v>
      </c>
      <c r="L7" s="16" t="s">
        <v>35</v>
      </c>
      <c r="M7" s="16" t="s">
        <v>35</v>
      </c>
      <c r="N7" s="16" t="s">
        <v>35</v>
      </c>
      <c r="O7" s="16" t="s">
        <v>35</v>
      </c>
      <c r="P7" s="16" t="s">
        <v>35</v>
      </c>
      <c r="Q7" s="17" t="n">
        <f aca="false">(COUNTIF(F7:P7,Paramètres!$A$7)*Paramètres!$B$7+COUNTIF(F7:P7,Paramètres!$A$6)*Paramètres!$B$6+COUNTIF(F7:P7,Paramètres!$A$5)*Paramètres!$B$5)/COLUMNS(F7:P7)</f>
        <v>0.0681818181818182</v>
      </c>
      <c r="R7" s="18" t="str">
        <f aca="false">IF(Q7&gt;=1,"Terminé",IF(COUNTIF(H7:P7,Paramètres!$A$4)=9,"Non démarré","En cours"))</f>
        <v>Non démarré</v>
      </c>
      <c r="S7" s="19"/>
      <c r="T7" s="20"/>
      <c r="U7" s="19"/>
    </row>
    <row r="8" customFormat="false" ht="15" hidden="false" customHeight="false" outlineLevel="0" collapsed="false">
      <c r="A8" s="15" t="s">
        <v>97</v>
      </c>
      <c r="B8" s="15" t="s">
        <v>15</v>
      </c>
      <c r="C8" s="15" t="s">
        <v>98</v>
      </c>
      <c r="D8" s="15" t="s">
        <v>92</v>
      </c>
      <c r="E8" s="15" t="s">
        <v>29</v>
      </c>
      <c r="F8" s="16" t="s">
        <v>37</v>
      </c>
      <c r="G8" s="16" t="s">
        <v>35</v>
      </c>
      <c r="H8" s="16" t="s">
        <v>35</v>
      </c>
      <c r="I8" s="16" t="s">
        <v>35</v>
      </c>
      <c r="J8" s="16" t="s">
        <v>35</v>
      </c>
      <c r="K8" s="16" t="s">
        <v>35</v>
      </c>
      <c r="L8" s="16" t="s">
        <v>35</v>
      </c>
      <c r="M8" s="16" t="s">
        <v>35</v>
      </c>
      <c r="N8" s="16" t="s">
        <v>35</v>
      </c>
      <c r="O8" s="16" t="s">
        <v>35</v>
      </c>
      <c r="P8" s="16" t="s">
        <v>35</v>
      </c>
      <c r="Q8" s="17" t="n">
        <f aca="false">(COUNTIF(F8:P8,Paramètres!$A$7)*Paramètres!$B$7+COUNTIF(F8:P8,Paramètres!$A$6)*Paramètres!$B$6+COUNTIF(F8:P8,Paramètres!$A$5)*Paramètres!$B$5)/COLUMNS(F8:P8)</f>
        <v>0.0681818181818182</v>
      </c>
      <c r="R8" s="18" t="str">
        <f aca="false">IF(Q8&gt;=1,"Terminé",IF(COUNTIF(H8:P8,Paramètres!$A$4)=9,"Non démarré","En cours"))</f>
        <v>Non démarré</v>
      </c>
      <c r="S8" s="19"/>
      <c r="T8" s="20"/>
      <c r="U8" s="19"/>
    </row>
    <row r="9" customFormat="false" ht="23.85" hidden="false" customHeight="false" outlineLevel="0" collapsed="false">
      <c r="A9" s="15" t="s">
        <v>99</v>
      </c>
      <c r="B9" s="15" t="s">
        <v>16</v>
      </c>
      <c r="C9" s="15" t="s">
        <v>100</v>
      </c>
      <c r="D9" s="15" t="s">
        <v>101</v>
      </c>
      <c r="E9" s="15" t="s">
        <v>29</v>
      </c>
      <c r="F9" s="16" t="s">
        <v>37</v>
      </c>
      <c r="G9" s="16" t="s">
        <v>35</v>
      </c>
      <c r="H9" s="16" t="s">
        <v>35</v>
      </c>
      <c r="I9" s="16" t="s">
        <v>35</v>
      </c>
      <c r="J9" s="16" t="s">
        <v>35</v>
      </c>
      <c r="K9" s="16" t="s">
        <v>35</v>
      </c>
      <c r="L9" s="16" t="s">
        <v>35</v>
      </c>
      <c r="M9" s="16" t="s">
        <v>35</v>
      </c>
      <c r="N9" s="16" t="s">
        <v>35</v>
      </c>
      <c r="O9" s="16" t="s">
        <v>35</v>
      </c>
      <c r="P9" s="16" t="s">
        <v>35</v>
      </c>
      <c r="Q9" s="17" t="n">
        <f aca="false">(COUNTIF(F9:P9,Paramètres!$A$7)*Paramètres!$B$7+COUNTIF(F9:P9,Paramètres!$A$6)*Paramètres!$B$6+COUNTIF(F9:P9,Paramètres!$A$5)*Paramètres!$B$5)/COLUMNS(F9:P9)</f>
        <v>0.0681818181818182</v>
      </c>
      <c r="R9" s="18" t="str">
        <f aca="false">IF(Q9&gt;=1,"Terminé",IF(COUNTIF(H9:P9,Paramètres!$A$4)=9,"Non démarré","En cours"))</f>
        <v>Non démarré</v>
      </c>
      <c r="S9" s="19"/>
      <c r="T9" s="20"/>
      <c r="U9" s="19"/>
    </row>
    <row r="10" customFormat="false" ht="23.85" hidden="false" customHeight="false" outlineLevel="0" collapsed="false">
      <c r="A10" s="15" t="s">
        <v>102</v>
      </c>
      <c r="B10" s="15" t="s">
        <v>16</v>
      </c>
      <c r="C10" s="15" t="s">
        <v>103</v>
      </c>
      <c r="D10" s="15" t="s">
        <v>101</v>
      </c>
      <c r="E10" s="15" t="s">
        <v>29</v>
      </c>
      <c r="F10" s="16" t="s">
        <v>37</v>
      </c>
      <c r="G10" s="16" t="s">
        <v>35</v>
      </c>
      <c r="H10" s="16" t="s">
        <v>35</v>
      </c>
      <c r="I10" s="16" t="s">
        <v>35</v>
      </c>
      <c r="J10" s="16" t="s">
        <v>35</v>
      </c>
      <c r="K10" s="16" t="s">
        <v>35</v>
      </c>
      <c r="L10" s="16" t="s">
        <v>35</v>
      </c>
      <c r="M10" s="16" t="s">
        <v>35</v>
      </c>
      <c r="N10" s="16" t="s">
        <v>35</v>
      </c>
      <c r="O10" s="16" t="s">
        <v>35</v>
      </c>
      <c r="P10" s="16" t="s">
        <v>35</v>
      </c>
      <c r="Q10" s="17" t="n">
        <f aca="false">(COUNTIF(F10:P10,Paramètres!$A$7)*Paramètres!$B$7+COUNTIF(F10:P10,Paramètres!$A$6)*Paramètres!$B$6+COUNTIF(F10:P10,Paramètres!$A$5)*Paramètres!$B$5)/COLUMNS(F10:P10)</f>
        <v>0.0681818181818182</v>
      </c>
      <c r="R10" s="18" t="str">
        <f aca="false">IF(Q10&gt;=1,"Terminé",IF(COUNTIF(H10:P10,Paramètres!$A$4)=9,"Non démarré","En cours"))</f>
        <v>Non démarré</v>
      </c>
      <c r="S10" s="19"/>
      <c r="T10" s="20"/>
      <c r="U10" s="19"/>
    </row>
    <row r="11" customFormat="false" ht="23.85" hidden="false" customHeight="false" outlineLevel="0" collapsed="false">
      <c r="A11" s="15" t="s">
        <v>104</v>
      </c>
      <c r="B11" s="15" t="s">
        <v>16</v>
      </c>
      <c r="C11" s="15" t="s">
        <v>105</v>
      </c>
      <c r="D11" s="15" t="s">
        <v>101</v>
      </c>
      <c r="E11" s="15" t="s">
        <v>28</v>
      </c>
      <c r="F11" s="16" t="s">
        <v>37</v>
      </c>
      <c r="G11" s="16" t="s">
        <v>35</v>
      </c>
      <c r="H11" s="16" t="s">
        <v>35</v>
      </c>
      <c r="I11" s="16" t="s">
        <v>35</v>
      </c>
      <c r="J11" s="16" t="s">
        <v>35</v>
      </c>
      <c r="K11" s="16" t="s">
        <v>35</v>
      </c>
      <c r="L11" s="16" t="s">
        <v>35</v>
      </c>
      <c r="M11" s="16" t="s">
        <v>35</v>
      </c>
      <c r="N11" s="16" t="s">
        <v>35</v>
      </c>
      <c r="O11" s="16" t="s">
        <v>35</v>
      </c>
      <c r="P11" s="16" t="s">
        <v>35</v>
      </c>
      <c r="Q11" s="17" t="n">
        <f aca="false">(COUNTIF(F11:P11,Paramètres!$A$7)*Paramètres!$B$7+COUNTIF(F11:P11,Paramètres!$A$6)*Paramètres!$B$6+COUNTIF(F11:P11,Paramètres!$A$5)*Paramètres!$B$5)/COLUMNS(F11:P11)</f>
        <v>0.0681818181818182</v>
      </c>
      <c r="R11" s="18" t="str">
        <f aca="false">IF(Q11&gt;=1,"Terminé",IF(COUNTIF(H11:P11,Paramètres!$A$4)=9,"Non démarré","En cours"))</f>
        <v>Non démarré</v>
      </c>
      <c r="S11" s="19"/>
      <c r="T11" s="20"/>
      <c r="U11" s="19"/>
    </row>
    <row r="12" customFormat="false" ht="23.85" hidden="false" customHeight="false" outlineLevel="0" collapsed="false">
      <c r="A12" s="15" t="s">
        <v>106</v>
      </c>
      <c r="B12" s="15" t="s">
        <v>16</v>
      </c>
      <c r="C12" s="15" t="s">
        <v>107</v>
      </c>
      <c r="D12" s="15" t="s">
        <v>101</v>
      </c>
      <c r="E12" s="15" t="s">
        <v>28</v>
      </c>
      <c r="F12" s="16" t="s">
        <v>37</v>
      </c>
      <c r="G12" s="16" t="s">
        <v>35</v>
      </c>
      <c r="H12" s="16" t="s">
        <v>35</v>
      </c>
      <c r="I12" s="16" t="s">
        <v>35</v>
      </c>
      <c r="J12" s="16" t="s">
        <v>35</v>
      </c>
      <c r="K12" s="16" t="s">
        <v>35</v>
      </c>
      <c r="L12" s="16" t="s">
        <v>35</v>
      </c>
      <c r="M12" s="16" t="s">
        <v>35</v>
      </c>
      <c r="N12" s="16" t="s">
        <v>35</v>
      </c>
      <c r="O12" s="16" t="s">
        <v>35</v>
      </c>
      <c r="P12" s="16" t="s">
        <v>35</v>
      </c>
      <c r="Q12" s="17" t="n">
        <f aca="false">(COUNTIF(F12:P12,Paramètres!$A$7)*Paramètres!$B$7+COUNTIF(F12:P12,Paramètres!$A$6)*Paramètres!$B$6+COUNTIF(F12:P12,Paramètres!$A$5)*Paramètres!$B$5)/COLUMNS(F12:P12)</f>
        <v>0.0681818181818182</v>
      </c>
      <c r="R12" s="18" t="str">
        <f aca="false">IF(Q12&gt;=1,"Terminé",IF(COUNTIF(H12:P12,Paramètres!$A$4)=9,"Non démarré","En cours"))</f>
        <v>Non démarré</v>
      </c>
      <c r="S12" s="19"/>
      <c r="T12" s="20"/>
      <c r="U12" s="19"/>
    </row>
    <row r="13" customFormat="false" ht="23.85" hidden="false" customHeight="false" outlineLevel="0" collapsed="false">
      <c r="A13" s="15" t="s">
        <v>108</v>
      </c>
      <c r="B13" s="15" t="s">
        <v>16</v>
      </c>
      <c r="C13" s="15" t="s">
        <v>109</v>
      </c>
      <c r="D13" s="15" t="s">
        <v>101</v>
      </c>
      <c r="E13" s="15" t="s">
        <v>29</v>
      </c>
      <c r="F13" s="16" t="s">
        <v>37</v>
      </c>
      <c r="G13" s="16" t="s">
        <v>35</v>
      </c>
      <c r="H13" s="16" t="s">
        <v>35</v>
      </c>
      <c r="I13" s="16" t="s">
        <v>35</v>
      </c>
      <c r="J13" s="16" t="s">
        <v>35</v>
      </c>
      <c r="K13" s="16" t="s">
        <v>35</v>
      </c>
      <c r="L13" s="16" t="s">
        <v>35</v>
      </c>
      <c r="M13" s="16" t="s">
        <v>35</v>
      </c>
      <c r="N13" s="16" t="s">
        <v>35</v>
      </c>
      <c r="O13" s="16" t="s">
        <v>35</v>
      </c>
      <c r="P13" s="16" t="s">
        <v>35</v>
      </c>
      <c r="Q13" s="17" t="n">
        <f aca="false">(COUNTIF(F13:P13,Paramètres!$A$7)*Paramètres!$B$7+COUNTIF(F13:P13,Paramètres!$A$6)*Paramètres!$B$6+COUNTIF(F13:P13,Paramètres!$A$5)*Paramètres!$B$5)/COLUMNS(F13:P13)</f>
        <v>0.0681818181818182</v>
      </c>
      <c r="R13" s="18" t="str">
        <f aca="false">IF(Q13&gt;=1,"Terminé",IF(COUNTIF(H13:P13,Paramètres!$A$4)=9,"Non démarré","En cours"))</f>
        <v>Non démarré</v>
      </c>
      <c r="S13" s="19"/>
      <c r="T13" s="20"/>
      <c r="U13" s="19"/>
    </row>
    <row r="14" customFormat="false" ht="23.85" hidden="false" customHeight="false" outlineLevel="0" collapsed="false">
      <c r="A14" s="15" t="s">
        <v>110</v>
      </c>
      <c r="B14" s="15" t="s">
        <v>16</v>
      </c>
      <c r="C14" s="15" t="s">
        <v>111</v>
      </c>
      <c r="D14" s="15" t="s">
        <v>101</v>
      </c>
      <c r="E14" s="15" t="s">
        <v>29</v>
      </c>
      <c r="F14" s="16" t="s">
        <v>37</v>
      </c>
      <c r="G14" s="16" t="s">
        <v>35</v>
      </c>
      <c r="H14" s="16" t="s">
        <v>35</v>
      </c>
      <c r="I14" s="16" t="s">
        <v>35</v>
      </c>
      <c r="J14" s="16" t="s">
        <v>35</v>
      </c>
      <c r="K14" s="16" t="s">
        <v>35</v>
      </c>
      <c r="L14" s="16" t="s">
        <v>35</v>
      </c>
      <c r="M14" s="16" t="s">
        <v>35</v>
      </c>
      <c r="N14" s="16" t="s">
        <v>35</v>
      </c>
      <c r="O14" s="16" t="s">
        <v>35</v>
      </c>
      <c r="P14" s="16" t="s">
        <v>35</v>
      </c>
      <c r="Q14" s="17" t="n">
        <f aca="false">(COUNTIF(F14:P14,Paramètres!$A$7)*Paramètres!$B$7+COUNTIF(F14:P14,Paramètres!$A$6)*Paramètres!$B$6+COUNTIF(F14:P14,Paramètres!$A$5)*Paramètres!$B$5)/COLUMNS(F14:P14)</f>
        <v>0.0681818181818182</v>
      </c>
      <c r="R14" s="18" t="str">
        <f aca="false">IF(Q14&gt;=1,"Terminé",IF(COUNTIF(H14:P14,Paramètres!$A$4)=9,"Non démarré","En cours"))</f>
        <v>Non démarré</v>
      </c>
      <c r="S14" s="19"/>
      <c r="T14" s="20"/>
      <c r="U14" s="19"/>
    </row>
    <row r="15" customFormat="false" ht="23.85" hidden="false" customHeight="false" outlineLevel="0" collapsed="false">
      <c r="A15" s="15" t="s">
        <v>112</v>
      </c>
      <c r="B15" s="15" t="s">
        <v>16</v>
      </c>
      <c r="C15" s="15" t="s">
        <v>113</v>
      </c>
      <c r="D15" s="15" t="s">
        <v>101</v>
      </c>
      <c r="E15" s="15" t="s">
        <v>29</v>
      </c>
      <c r="F15" s="16" t="s">
        <v>37</v>
      </c>
      <c r="G15" s="16" t="s">
        <v>35</v>
      </c>
      <c r="H15" s="16" t="s">
        <v>35</v>
      </c>
      <c r="I15" s="16" t="s">
        <v>35</v>
      </c>
      <c r="J15" s="16" t="s">
        <v>35</v>
      </c>
      <c r="K15" s="16" t="s">
        <v>35</v>
      </c>
      <c r="L15" s="16" t="s">
        <v>35</v>
      </c>
      <c r="M15" s="16" t="s">
        <v>35</v>
      </c>
      <c r="N15" s="16" t="s">
        <v>35</v>
      </c>
      <c r="O15" s="16" t="s">
        <v>35</v>
      </c>
      <c r="P15" s="16" t="s">
        <v>35</v>
      </c>
      <c r="Q15" s="17" t="n">
        <f aca="false">(COUNTIF(F15:P15,Paramètres!$A$7)*Paramètres!$B$7+COUNTIF(F15:P15,Paramètres!$A$6)*Paramètres!$B$6+COUNTIF(F15:P15,Paramètres!$A$5)*Paramètres!$B$5)/COLUMNS(F15:P15)</f>
        <v>0.0681818181818182</v>
      </c>
      <c r="R15" s="18" t="str">
        <f aca="false">IF(Q15&gt;=1,"Terminé",IF(COUNTIF(H15:P15,Paramètres!$A$4)=9,"Non démarré","En cours"))</f>
        <v>Non démarré</v>
      </c>
      <c r="S15" s="19"/>
      <c r="T15" s="20"/>
      <c r="U15" s="19"/>
    </row>
    <row r="16" customFormat="false" ht="23.85" hidden="false" customHeight="false" outlineLevel="0" collapsed="false">
      <c r="A16" s="15" t="s">
        <v>114</v>
      </c>
      <c r="B16" s="15" t="s">
        <v>16</v>
      </c>
      <c r="C16" s="15" t="s">
        <v>115</v>
      </c>
      <c r="D16" s="15" t="s">
        <v>101</v>
      </c>
      <c r="E16" s="15" t="s">
        <v>29</v>
      </c>
      <c r="F16" s="16" t="s">
        <v>37</v>
      </c>
      <c r="G16" s="16" t="s">
        <v>35</v>
      </c>
      <c r="H16" s="16" t="s">
        <v>35</v>
      </c>
      <c r="I16" s="16" t="s">
        <v>35</v>
      </c>
      <c r="J16" s="16" t="s">
        <v>35</v>
      </c>
      <c r="K16" s="16" t="s">
        <v>35</v>
      </c>
      <c r="L16" s="16" t="s">
        <v>35</v>
      </c>
      <c r="M16" s="16" t="s">
        <v>35</v>
      </c>
      <c r="N16" s="16" t="s">
        <v>35</v>
      </c>
      <c r="O16" s="16" t="s">
        <v>35</v>
      </c>
      <c r="P16" s="16" t="s">
        <v>35</v>
      </c>
      <c r="Q16" s="17" t="n">
        <f aca="false">(COUNTIF(F16:P16,Paramètres!$A$7)*Paramètres!$B$7+COUNTIF(F16:P16,Paramètres!$A$6)*Paramètres!$B$6+COUNTIF(F16:P16,Paramètres!$A$5)*Paramètres!$B$5)/COLUMNS(F16:P16)</f>
        <v>0.0681818181818182</v>
      </c>
      <c r="R16" s="18" t="str">
        <f aca="false">IF(Q16&gt;=1,"Terminé",IF(COUNTIF(H16:P16,Paramètres!$A$4)=9,"Non démarré","En cours"))</f>
        <v>Non démarré</v>
      </c>
      <c r="S16" s="19"/>
      <c r="T16" s="20"/>
      <c r="U16" s="19"/>
    </row>
    <row r="17" customFormat="false" ht="23.85" hidden="false" customHeight="false" outlineLevel="0" collapsed="false">
      <c r="A17" s="15" t="s">
        <v>116</v>
      </c>
      <c r="B17" s="15" t="s">
        <v>16</v>
      </c>
      <c r="C17" s="15" t="s">
        <v>117</v>
      </c>
      <c r="D17" s="15" t="s">
        <v>101</v>
      </c>
      <c r="E17" s="15" t="s">
        <v>29</v>
      </c>
      <c r="F17" s="16" t="s">
        <v>37</v>
      </c>
      <c r="G17" s="16" t="s">
        <v>35</v>
      </c>
      <c r="H17" s="16" t="s">
        <v>35</v>
      </c>
      <c r="I17" s="16" t="s">
        <v>35</v>
      </c>
      <c r="J17" s="16" t="s">
        <v>35</v>
      </c>
      <c r="K17" s="16" t="s">
        <v>35</v>
      </c>
      <c r="L17" s="16" t="s">
        <v>35</v>
      </c>
      <c r="M17" s="16" t="s">
        <v>35</v>
      </c>
      <c r="N17" s="16" t="s">
        <v>35</v>
      </c>
      <c r="O17" s="16" t="s">
        <v>35</v>
      </c>
      <c r="P17" s="16" t="s">
        <v>35</v>
      </c>
      <c r="Q17" s="17" t="n">
        <f aca="false">(COUNTIF(F17:P17,Paramètres!$A$7)*Paramètres!$B$7+COUNTIF(F17:P17,Paramètres!$A$6)*Paramètres!$B$6+COUNTIF(F17:P17,Paramètres!$A$5)*Paramètres!$B$5)/COLUMNS(F17:P17)</f>
        <v>0.0681818181818182</v>
      </c>
      <c r="R17" s="18" t="str">
        <f aca="false">IF(Q17&gt;=1,"Terminé",IF(COUNTIF(H17:P17,Paramètres!$A$4)=9,"Non démarré","En cours"))</f>
        <v>Non démarré</v>
      </c>
      <c r="S17" s="19"/>
      <c r="T17" s="20"/>
      <c r="U17" s="19"/>
    </row>
    <row r="18" customFormat="false" ht="15" hidden="false" customHeight="false" outlineLevel="0" collapsed="false">
      <c r="A18" s="15" t="s">
        <v>118</v>
      </c>
      <c r="B18" s="15" t="s">
        <v>17</v>
      </c>
      <c r="C18" s="15" t="s">
        <v>119</v>
      </c>
      <c r="D18" s="15" t="s">
        <v>120</v>
      </c>
      <c r="E18" s="15" t="s">
        <v>28</v>
      </c>
      <c r="F18" s="16" t="s">
        <v>37</v>
      </c>
      <c r="G18" s="16" t="s">
        <v>35</v>
      </c>
      <c r="H18" s="16" t="s">
        <v>35</v>
      </c>
      <c r="I18" s="16" t="s">
        <v>35</v>
      </c>
      <c r="J18" s="16" t="s">
        <v>35</v>
      </c>
      <c r="K18" s="16" t="s">
        <v>35</v>
      </c>
      <c r="L18" s="16" t="s">
        <v>35</v>
      </c>
      <c r="M18" s="16" t="s">
        <v>35</v>
      </c>
      <c r="N18" s="16" t="s">
        <v>35</v>
      </c>
      <c r="O18" s="16" t="s">
        <v>35</v>
      </c>
      <c r="P18" s="16" t="s">
        <v>35</v>
      </c>
      <c r="Q18" s="17" t="n">
        <f aca="false">(COUNTIF(F18:P18,Paramètres!$A$7)*Paramètres!$B$7+COUNTIF(F18:P18,Paramètres!$A$6)*Paramètres!$B$6+COUNTIF(F18:P18,Paramètres!$A$5)*Paramètres!$B$5)/COLUMNS(F18:P18)</f>
        <v>0.0681818181818182</v>
      </c>
      <c r="R18" s="18" t="str">
        <f aca="false">IF(Q18&gt;=1,"Terminé",IF(COUNTIF(H18:P18,Paramètres!$A$4)=9,"Non démarré","En cours"))</f>
        <v>Non démarré</v>
      </c>
      <c r="S18" s="19"/>
      <c r="T18" s="20"/>
      <c r="U18" s="19"/>
    </row>
    <row r="19" customFormat="false" ht="15" hidden="false" customHeight="false" outlineLevel="0" collapsed="false">
      <c r="A19" s="15" t="s">
        <v>121</v>
      </c>
      <c r="B19" s="15" t="s">
        <v>17</v>
      </c>
      <c r="C19" s="15" t="s">
        <v>122</v>
      </c>
      <c r="D19" s="15" t="s">
        <v>120</v>
      </c>
      <c r="E19" s="15" t="s">
        <v>28</v>
      </c>
      <c r="F19" s="16" t="s">
        <v>37</v>
      </c>
      <c r="G19" s="16" t="s">
        <v>35</v>
      </c>
      <c r="H19" s="16" t="s">
        <v>35</v>
      </c>
      <c r="I19" s="16" t="s">
        <v>35</v>
      </c>
      <c r="J19" s="16" t="s">
        <v>35</v>
      </c>
      <c r="K19" s="16" t="s">
        <v>35</v>
      </c>
      <c r="L19" s="16" t="s">
        <v>35</v>
      </c>
      <c r="M19" s="16" t="s">
        <v>35</v>
      </c>
      <c r="N19" s="16" t="s">
        <v>35</v>
      </c>
      <c r="O19" s="16" t="s">
        <v>35</v>
      </c>
      <c r="P19" s="16" t="s">
        <v>35</v>
      </c>
      <c r="Q19" s="17" t="n">
        <f aca="false">(COUNTIF(F19:P19,Paramètres!$A$7)*Paramètres!$B$7+COUNTIF(F19:P19,Paramètres!$A$6)*Paramètres!$B$6+COUNTIF(F19:P19,Paramètres!$A$5)*Paramètres!$B$5)/COLUMNS(F19:P19)</f>
        <v>0.0681818181818182</v>
      </c>
      <c r="R19" s="18" t="str">
        <f aca="false">IF(Q19&gt;=1,"Terminé",IF(COUNTIF(H19:P19,Paramètres!$A$4)=9,"Non démarré","En cours"))</f>
        <v>Non démarré</v>
      </c>
      <c r="S19" s="19"/>
      <c r="T19" s="20"/>
      <c r="U19" s="19"/>
    </row>
    <row r="20" customFormat="false" ht="15" hidden="false" customHeight="false" outlineLevel="0" collapsed="false">
      <c r="A20" s="15" t="s">
        <v>123</v>
      </c>
      <c r="B20" s="15" t="s">
        <v>17</v>
      </c>
      <c r="C20" s="15" t="s">
        <v>124</v>
      </c>
      <c r="D20" s="15" t="s">
        <v>120</v>
      </c>
      <c r="E20" s="15" t="s">
        <v>28</v>
      </c>
      <c r="F20" s="16" t="s">
        <v>37</v>
      </c>
      <c r="G20" s="16" t="s">
        <v>35</v>
      </c>
      <c r="H20" s="16" t="s">
        <v>35</v>
      </c>
      <c r="I20" s="16" t="s">
        <v>35</v>
      </c>
      <c r="J20" s="16" t="s">
        <v>35</v>
      </c>
      <c r="K20" s="16" t="s">
        <v>35</v>
      </c>
      <c r="L20" s="16" t="s">
        <v>35</v>
      </c>
      <c r="M20" s="16" t="s">
        <v>35</v>
      </c>
      <c r="N20" s="16" t="s">
        <v>35</v>
      </c>
      <c r="O20" s="16" t="s">
        <v>35</v>
      </c>
      <c r="P20" s="16" t="s">
        <v>35</v>
      </c>
      <c r="Q20" s="17" t="n">
        <f aca="false">(COUNTIF(F20:P20,Paramètres!$A$7)*Paramètres!$B$7+COUNTIF(F20:P20,Paramètres!$A$6)*Paramètres!$B$6+COUNTIF(F20:P20,Paramètres!$A$5)*Paramètres!$B$5)/COLUMNS(F20:P20)</f>
        <v>0.0681818181818182</v>
      </c>
      <c r="R20" s="18" t="str">
        <f aca="false">IF(Q20&gt;=1,"Terminé",IF(COUNTIF(H20:P20,Paramètres!$A$4)=9,"Non démarré","En cours"))</f>
        <v>Non démarré</v>
      </c>
      <c r="S20" s="19"/>
      <c r="T20" s="20"/>
      <c r="U20" s="19"/>
    </row>
    <row r="21" customFormat="false" ht="15" hidden="false" customHeight="false" outlineLevel="0" collapsed="false">
      <c r="A21" s="15" t="s">
        <v>125</v>
      </c>
      <c r="B21" s="15" t="s">
        <v>17</v>
      </c>
      <c r="C21" s="15" t="s">
        <v>126</v>
      </c>
      <c r="D21" s="15" t="s">
        <v>120</v>
      </c>
      <c r="E21" s="15" t="s">
        <v>28</v>
      </c>
      <c r="F21" s="16" t="s">
        <v>37</v>
      </c>
      <c r="G21" s="16" t="s">
        <v>35</v>
      </c>
      <c r="H21" s="16" t="s">
        <v>35</v>
      </c>
      <c r="I21" s="16" t="s">
        <v>35</v>
      </c>
      <c r="J21" s="16" t="s">
        <v>35</v>
      </c>
      <c r="K21" s="16" t="s">
        <v>35</v>
      </c>
      <c r="L21" s="16" t="s">
        <v>35</v>
      </c>
      <c r="M21" s="16" t="s">
        <v>35</v>
      </c>
      <c r="N21" s="16" t="s">
        <v>35</v>
      </c>
      <c r="O21" s="16" t="s">
        <v>35</v>
      </c>
      <c r="P21" s="16" t="s">
        <v>35</v>
      </c>
      <c r="Q21" s="17" t="n">
        <f aca="false">(COUNTIF(F21:P21,Paramètres!$A$7)*Paramètres!$B$7+COUNTIF(F21:P21,Paramètres!$A$6)*Paramètres!$B$6+COUNTIF(F21:P21,Paramètres!$A$5)*Paramètres!$B$5)/COLUMNS(F21:P21)</f>
        <v>0.0681818181818182</v>
      </c>
      <c r="R21" s="18" t="str">
        <f aca="false">IF(Q21&gt;=1,"Terminé",IF(COUNTIF(H21:P21,Paramètres!$A$4)=9,"Non démarré","En cours"))</f>
        <v>Non démarré</v>
      </c>
      <c r="S21" s="19"/>
      <c r="T21" s="20"/>
      <c r="U21" s="19"/>
    </row>
    <row r="22" customFormat="false" ht="15" hidden="false" customHeight="false" outlineLevel="0" collapsed="false">
      <c r="A22" s="15" t="s">
        <v>127</v>
      </c>
      <c r="B22" s="15" t="s">
        <v>17</v>
      </c>
      <c r="C22" s="15" t="s">
        <v>128</v>
      </c>
      <c r="D22" s="15" t="s">
        <v>120</v>
      </c>
      <c r="E22" s="15" t="s">
        <v>28</v>
      </c>
      <c r="F22" s="16" t="s">
        <v>37</v>
      </c>
      <c r="G22" s="16" t="s">
        <v>35</v>
      </c>
      <c r="H22" s="16" t="s">
        <v>35</v>
      </c>
      <c r="I22" s="16" t="s">
        <v>35</v>
      </c>
      <c r="J22" s="16" t="s">
        <v>35</v>
      </c>
      <c r="K22" s="16" t="s">
        <v>35</v>
      </c>
      <c r="L22" s="16" t="s">
        <v>35</v>
      </c>
      <c r="M22" s="16" t="s">
        <v>35</v>
      </c>
      <c r="N22" s="16" t="s">
        <v>35</v>
      </c>
      <c r="O22" s="16" t="s">
        <v>35</v>
      </c>
      <c r="P22" s="16" t="s">
        <v>35</v>
      </c>
      <c r="Q22" s="17" t="n">
        <f aca="false">(COUNTIF(F22:P22,Paramètres!$A$7)*Paramètres!$B$7+COUNTIF(F22:P22,Paramètres!$A$6)*Paramètres!$B$6+COUNTIF(F22:P22,Paramètres!$A$5)*Paramètres!$B$5)/COLUMNS(F22:P22)</f>
        <v>0.0681818181818182</v>
      </c>
      <c r="R22" s="18" t="str">
        <f aca="false">IF(Q22&gt;=1,"Terminé",IF(COUNTIF(H22:P22,Paramètres!$A$4)=9,"Non démarré","En cours"))</f>
        <v>Non démarré</v>
      </c>
      <c r="S22" s="19"/>
      <c r="T22" s="20"/>
      <c r="U22" s="19"/>
    </row>
    <row r="23" customFormat="false" ht="35.05" hidden="false" customHeight="false" outlineLevel="0" collapsed="false">
      <c r="A23" s="15" t="s">
        <v>129</v>
      </c>
      <c r="B23" s="15" t="s">
        <v>17</v>
      </c>
      <c r="C23" s="15" t="s">
        <v>130</v>
      </c>
      <c r="D23" s="15" t="s">
        <v>120</v>
      </c>
      <c r="E23" s="15" t="s">
        <v>27</v>
      </c>
      <c r="F23" s="16" t="s">
        <v>37</v>
      </c>
      <c r="G23" s="16" t="s">
        <v>35</v>
      </c>
      <c r="H23" s="16" t="s">
        <v>36</v>
      </c>
      <c r="I23" s="16" t="s">
        <v>37</v>
      </c>
      <c r="J23" s="16" t="s">
        <v>37</v>
      </c>
      <c r="K23" s="16" t="s">
        <v>35</v>
      </c>
      <c r="L23" s="16" t="s">
        <v>36</v>
      </c>
      <c r="M23" s="16" t="s">
        <v>35</v>
      </c>
      <c r="N23" s="16" t="s">
        <v>35</v>
      </c>
      <c r="O23" s="16" t="s">
        <v>37</v>
      </c>
      <c r="P23" s="16" t="s">
        <v>35</v>
      </c>
      <c r="Q23" s="17" t="n">
        <f aca="false">(COUNTIF(F23:P23,Paramètres!$A$7)*Paramètres!$B$7+COUNTIF(F23:P23,Paramètres!$A$6)*Paramètres!$B$6+COUNTIF(F23:P23,Paramètres!$A$5)*Paramètres!$B$5)/COLUMNS(F23:P23)</f>
        <v>0.345454545454545</v>
      </c>
      <c r="R23" s="18" t="str">
        <f aca="false">IF(Q23&gt;=1,"Terminé",IF(COUNTIF(H23:P23,Paramètres!$A$4)=9,"Non démarré","En cours"))</f>
        <v>En cours</v>
      </c>
      <c r="S23" s="19"/>
      <c r="T23" s="20" t="s">
        <v>131</v>
      </c>
      <c r="U23" s="19" t="s">
        <v>132</v>
      </c>
    </row>
    <row r="24" customFormat="false" ht="15" hidden="false" customHeight="false" outlineLevel="0" collapsed="false">
      <c r="A24" s="15" t="s">
        <v>133</v>
      </c>
      <c r="B24" s="15" t="s">
        <v>17</v>
      </c>
      <c r="C24" s="15" t="s">
        <v>134</v>
      </c>
      <c r="D24" s="15" t="s">
        <v>120</v>
      </c>
      <c r="E24" s="15" t="s">
        <v>28</v>
      </c>
      <c r="F24" s="16" t="s">
        <v>37</v>
      </c>
      <c r="G24" s="16" t="s">
        <v>35</v>
      </c>
      <c r="H24" s="16" t="s">
        <v>35</v>
      </c>
      <c r="I24" s="16" t="s">
        <v>35</v>
      </c>
      <c r="J24" s="16" t="s">
        <v>35</v>
      </c>
      <c r="K24" s="16" t="s">
        <v>35</v>
      </c>
      <c r="L24" s="16" t="s">
        <v>35</v>
      </c>
      <c r="M24" s="16" t="s">
        <v>35</v>
      </c>
      <c r="N24" s="16" t="s">
        <v>35</v>
      </c>
      <c r="O24" s="16" t="s">
        <v>35</v>
      </c>
      <c r="P24" s="16" t="s">
        <v>35</v>
      </c>
      <c r="Q24" s="17" t="n">
        <f aca="false">(COUNTIF(F24:P24,Paramètres!$A$7)*Paramètres!$B$7+COUNTIF(F24:P24,Paramètres!$A$6)*Paramètres!$B$6+COUNTIF(F24:P24,Paramètres!$A$5)*Paramètres!$B$5)/COLUMNS(F24:P24)</f>
        <v>0.0681818181818182</v>
      </c>
      <c r="R24" s="18" t="str">
        <f aca="false">IF(Q24&gt;=1,"Terminé",IF(COUNTIF(H24:P24,Paramètres!$A$4)=9,"Non démarré","En cours"))</f>
        <v>Non démarré</v>
      </c>
      <c r="S24" s="19"/>
      <c r="T24" s="20"/>
      <c r="U24" s="19"/>
    </row>
    <row r="25" customFormat="false" ht="15" hidden="false" customHeight="false" outlineLevel="0" collapsed="false">
      <c r="A25" s="15" t="s">
        <v>135</v>
      </c>
      <c r="B25" s="15" t="s">
        <v>18</v>
      </c>
      <c r="C25" s="15" t="s">
        <v>136</v>
      </c>
      <c r="D25" s="15" t="s">
        <v>137</v>
      </c>
      <c r="E25" s="15" t="s">
        <v>30</v>
      </c>
      <c r="F25" s="16" t="s">
        <v>37</v>
      </c>
      <c r="G25" s="16" t="s">
        <v>35</v>
      </c>
      <c r="H25" s="16" t="s">
        <v>35</v>
      </c>
      <c r="I25" s="16" t="s">
        <v>35</v>
      </c>
      <c r="J25" s="16" t="s">
        <v>35</v>
      </c>
      <c r="K25" s="16" t="s">
        <v>35</v>
      </c>
      <c r="L25" s="16" t="s">
        <v>35</v>
      </c>
      <c r="M25" s="16" t="s">
        <v>35</v>
      </c>
      <c r="N25" s="16" t="s">
        <v>35</v>
      </c>
      <c r="O25" s="16" t="s">
        <v>35</v>
      </c>
      <c r="P25" s="16" t="s">
        <v>35</v>
      </c>
      <c r="Q25" s="17" t="n">
        <f aca="false">(COUNTIF(F25:P25,Paramètres!$A$7)*Paramètres!$B$7+COUNTIF(F25:P25,Paramètres!$A$6)*Paramètres!$B$6+COUNTIF(F25:P25,Paramètres!$A$5)*Paramètres!$B$5)/COLUMNS(F25:P25)</f>
        <v>0.0681818181818182</v>
      </c>
      <c r="R25" s="18" t="str">
        <f aca="false">IF(Q25&gt;=1,"Terminé",IF(COUNTIF(H25:P25,Paramètres!$A$4)=9,"Non démarré","En cours"))</f>
        <v>Non démarré</v>
      </c>
      <c r="S25" s="19"/>
      <c r="T25" s="20"/>
      <c r="U25" s="19"/>
    </row>
    <row r="26" customFormat="false" ht="15" hidden="false" customHeight="false" outlineLevel="0" collapsed="false">
      <c r="A26" s="15" t="s">
        <v>138</v>
      </c>
      <c r="B26" s="15" t="s">
        <v>18</v>
      </c>
      <c r="C26" s="15" t="s">
        <v>139</v>
      </c>
      <c r="D26" s="15" t="s">
        <v>137</v>
      </c>
      <c r="E26" s="15" t="s">
        <v>30</v>
      </c>
      <c r="F26" s="16" t="s">
        <v>37</v>
      </c>
      <c r="G26" s="16" t="s">
        <v>35</v>
      </c>
      <c r="H26" s="16" t="s">
        <v>35</v>
      </c>
      <c r="I26" s="16" t="s">
        <v>35</v>
      </c>
      <c r="J26" s="16" t="s">
        <v>35</v>
      </c>
      <c r="K26" s="16" t="s">
        <v>35</v>
      </c>
      <c r="L26" s="16" t="s">
        <v>35</v>
      </c>
      <c r="M26" s="16" t="s">
        <v>35</v>
      </c>
      <c r="N26" s="16" t="s">
        <v>35</v>
      </c>
      <c r="O26" s="16" t="s">
        <v>35</v>
      </c>
      <c r="P26" s="16" t="s">
        <v>35</v>
      </c>
      <c r="Q26" s="17" t="n">
        <f aca="false">(COUNTIF(F26:P26,Paramètres!$A$7)*Paramètres!$B$7+COUNTIF(F26:P26,Paramètres!$A$6)*Paramètres!$B$6+COUNTIF(F26:P26,Paramètres!$A$5)*Paramètres!$B$5)/COLUMNS(F26:P26)</f>
        <v>0.0681818181818182</v>
      </c>
      <c r="R26" s="18" t="str">
        <f aca="false">IF(Q26&gt;=1,"Terminé",IF(COUNTIF(H26:P26,Paramètres!$A$4)=9,"Non démarré","En cours"))</f>
        <v>Non démarré</v>
      </c>
      <c r="S26" s="19"/>
      <c r="T26" s="20"/>
      <c r="U26" s="19"/>
    </row>
    <row r="27" customFormat="false" ht="15" hidden="false" customHeight="false" outlineLevel="0" collapsed="false">
      <c r="A27" s="15" t="s">
        <v>140</v>
      </c>
      <c r="B27" s="15" t="s">
        <v>18</v>
      </c>
      <c r="C27" s="15" t="s">
        <v>141</v>
      </c>
      <c r="D27" s="15" t="s">
        <v>137</v>
      </c>
      <c r="E27" s="15" t="s">
        <v>30</v>
      </c>
      <c r="F27" s="16" t="s">
        <v>37</v>
      </c>
      <c r="G27" s="16" t="s">
        <v>35</v>
      </c>
      <c r="H27" s="16" t="s">
        <v>35</v>
      </c>
      <c r="I27" s="16" t="s">
        <v>35</v>
      </c>
      <c r="J27" s="16" t="s">
        <v>35</v>
      </c>
      <c r="K27" s="16" t="s">
        <v>35</v>
      </c>
      <c r="L27" s="16" t="s">
        <v>35</v>
      </c>
      <c r="M27" s="16" t="s">
        <v>35</v>
      </c>
      <c r="N27" s="16" t="s">
        <v>35</v>
      </c>
      <c r="O27" s="16" t="s">
        <v>35</v>
      </c>
      <c r="P27" s="16" t="s">
        <v>35</v>
      </c>
      <c r="Q27" s="17" t="n">
        <f aca="false">(COUNTIF(F27:P27,Paramètres!$A$7)*Paramètres!$B$7+COUNTIF(F27:P27,Paramètres!$A$6)*Paramètres!$B$6+COUNTIF(F27:P27,Paramètres!$A$5)*Paramètres!$B$5)/COLUMNS(F27:P27)</f>
        <v>0.0681818181818182</v>
      </c>
      <c r="R27" s="18" t="str">
        <f aca="false">IF(Q27&gt;=1,"Terminé",IF(COUNTIF(H27:P27,Paramètres!$A$4)=9,"Non démarré","En cours"))</f>
        <v>Non démarré</v>
      </c>
      <c r="S27" s="19"/>
      <c r="T27" s="20"/>
      <c r="U27" s="19"/>
    </row>
    <row r="28" customFormat="false" ht="15" hidden="false" customHeight="false" outlineLevel="0" collapsed="false">
      <c r="A28" s="15" t="s">
        <v>142</v>
      </c>
      <c r="B28" s="15" t="s">
        <v>18</v>
      </c>
      <c r="C28" s="15" t="s">
        <v>143</v>
      </c>
      <c r="D28" s="15" t="s">
        <v>137</v>
      </c>
      <c r="E28" s="15" t="s">
        <v>30</v>
      </c>
      <c r="F28" s="16" t="s">
        <v>37</v>
      </c>
      <c r="G28" s="16" t="s">
        <v>35</v>
      </c>
      <c r="H28" s="16" t="s">
        <v>35</v>
      </c>
      <c r="I28" s="16" t="s">
        <v>35</v>
      </c>
      <c r="J28" s="16" t="s">
        <v>35</v>
      </c>
      <c r="K28" s="16" t="s">
        <v>35</v>
      </c>
      <c r="L28" s="16" t="s">
        <v>35</v>
      </c>
      <c r="M28" s="16" t="s">
        <v>35</v>
      </c>
      <c r="N28" s="16" t="s">
        <v>35</v>
      </c>
      <c r="O28" s="16" t="s">
        <v>35</v>
      </c>
      <c r="P28" s="16" t="s">
        <v>35</v>
      </c>
      <c r="Q28" s="17" t="n">
        <f aca="false">(COUNTIF(F28:P28,Paramètres!$A$7)*Paramètres!$B$7+COUNTIF(F28:P28,Paramètres!$A$6)*Paramètres!$B$6+COUNTIF(F28:P28,Paramètres!$A$5)*Paramètres!$B$5)/COLUMNS(F28:P28)</f>
        <v>0.0681818181818182</v>
      </c>
      <c r="R28" s="18" t="str">
        <f aca="false">IF(Q28&gt;=1,"Terminé",IF(COUNTIF(H28:P28,Paramètres!$A$4)=9,"Non démarré","En cours"))</f>
        <v>Non démarré</v>
      </c>
      <c r="S28" s="19"/>
      <c r="T28" s="20"/>
      <c r="U28" s="19"/>
    </row>
    <row r="29" customFormat="false" ht="15" hidden="false" customHeight="false" outlineLevel="0" collapsed="false">
      <c r="A29" s="15" t="s">
        <v>144</v>
      </c>
      <c r="B29" s="15" t="s">
        <v>18</v>
      </c>
      <c r="C29" s="15" t="s">
        <v>145</v>
      </c>
      <c r="D29" s="15" t="s">
        <v>137</v>
      </c>
      <c r="E29" s="15" t="s">
        <v>30</v>
      </c>
      <c r="F29" s="16" t="s">
        <v>37</v>
      </c>
      <c r="G29" s="16" t="s">
        <v>35</v>
      </c>
      <c r="H29" s="16" t="s">
        <v>35</v>
      </c>
      <c r="I29" s="16" t="s">
        <v>35</v>
      </c>
      <c r="J29" s="16" t="s">
        <v>35</v>
      </c>
      <c r="K29" s="16" t="s">
        <v>35</v>
      </c>
      <c r="L29" s="16" t="s">
        <v>35</v>
      </c>
      <c r="M29" s="16" t="s">
        <v>35</v>
      </c>
      <c r="N29" s="16" t="s">
        <v>35</v>
      </c>
      <c r="O29" s="16" t="s">
        <v>35</v>
      </c>
      <c r="P29" s="16" t="s">
        <v>35</v>
      </c>
      <c r="Q29" s="17" t="n">
        <f aca="false">(COUNTIF(F29:P29,Paramètres!$A$7)*Paramètres!$B$7+COUNTIF(F29:P29,Paramètres!$A$6)*Paramètres!$B$6+COUNTIF(F29:P29,Paramètres!$A$5)*Paramètres!$B$5)/COLUMNS(F29:P29)</f>
        <v>0.0681818181818182</v>
      </c>
      <c r="R29" s="18" t="str">
        <f aca="false">IF(Q29&gt;=1,"Terminé",IF(COUNTIF(H29:P29,Paramètres!$A$4)=9,"Non démarré","En cours"))</f>
        <v>Non démarré</v>
      </c>
      <c r="S29" s="19"/>
      <c r="T29" s="20"/>
      <c r="U29" s="19"/>
    </row>
    <row r="30" customFormat="false" ht="15" hidden="false" customHeight="false" outlineLevel="0" collapsed="false">
      <c r="A30" s="15" t="s">
        <v>146</v>
      </c>
      <c r="B30" s="15" t="s">
        <v>18</v>
      </c>
      <c r="C30" s="15" t="s">
        <v>147</v>
      </c>
      <c r="D30" s="15" t="s">
        <v>137</v>
      </c>
      <c r="E30" s="15" t="s">
        <v>30</v>
      </c>
      <c r="F30" s="16" t="s">
        <v>37</v>
      </c>
      <c r="G30" s="16" t="s">
        <v>35</v>
      </c>
      <c r="H30" s="16" t="s">
        <v>35</v>
      </c>
      <c r="I30" s="16" t="s">
        <v>35</v>
      </c>
      <c r="J30" s="16" t="s">
        <v>35</v>
      </c>
      <c r="K30" s="16" t="s">
        <v>35</v>
      </c>
      <c r="L30" s="16" t="s">
        <v>35</v>
      </c>
      <c r="M30" s="16" t="s">
        <v>35</v>
      </c>
      <c r="N30" s="16" t="s">
        <v>35</v>
      </c>
      <c r="O30" s="16" t="s">
        <v>35</v>
      </c>
      <c r="P30" s="16" t="s">
        <v>35</v>
      </c>
      <c r="Q30" s="17" t="n">
        <f aca="false">(COUNTIF(F30:P30,Paramètres!$A$7)*Paramètres!$B$7+COUNTIF(F30:P30,Paramètres!$A$6)*Paramètres!$B$6+COUNTIF(F30:P30,Paramètres!$A$5)*Paramètres!$B$5)/COLUMNS(F30:P30)</f>
        <v>0.0681818181818182</v>
      </c>
      <c r="R30" s="18" t="str">
        <f aca="false">IF(Q30&gt;=1,"Terminé",IF(COUNTIF(H30:P30,Paramètres!$A$4)=9,"Non démarré","En cours"))</f>
        <v>Non démarré</v>
      </c>
      <c r="S30" s="19"/>
      <c r="T30" s="20"/>
      <c r="U30" s="19"/>
    </row>
    <row r="31" customFormat="false" ht="15" hidden="false" customHeight="false" outlineLevel="0" collapsed="false">
      <c r="A31" s="15" t="s">
        <v>148</v>
      </c>
      <c r="B31" s="15" t="s">
        <v>18</v>
      </c>
      <c r="C31" s="15" t="s">
        <v>149</v>
      </c>
      <c r="D31" s="15" t="s">
        <v>137</v>
      </c>
      <c r="E31" s="15" t="s">
        <v>30</v>
      </c>
      <c r="F31" s="16" t="s">
        <v>37</v>
      </c>
      <c r="G31" s="16" t="s">
        <v>35</v>
      </c>
      <c r="H31" s="16" t="s">
        <v>35</v>
      </c>
      <c r="I31" s="16" t="s">
        <v>35</v>
      </c>
      <c r="J31" s="16" t="s">
        <v>35</v>
      </c>
      <c r="K31" s="16" t="s">
        <v>35</v>
      </c>
      <c r="L31" s="16" t="s">
        <v>35</v>
      </c>
      <c r="M31" s="16" t="s">
        <v>35</v>
      </c>
      <c r="N31" s="16" t="s">
        <v>35</v>
      </c>
      <c r="O31" s="16" t="s">
        <v>35</v>
      </c>
      <c r="P31" s="16" t="s">
        <v>35</v>
      </c>
      <c r="Q31" s="17" t="n">
        <f aca="false">(COUNTIF(F31:P31,Paramètres!$A$7)*Paramètres!$B$7+COUNTIF(F31:P31,Paramètres!$A$6)*Paramètres!$B$6+COUNTIF(F31:P31,Paramètres!$A$5)*Paramètres!$B$5)/COLUMNS(F31:P31)</f>
        <v>0.0681818181818182</v>
      </c>
      <c r="R31" s="18" t="str">
        <f aca="false">IF(Q31&gt;=1,"Terminé",IF(COUNTIF(H31:P31,Paramètres!$A$4)=9,"Non démarré","En cours"))</f>
        <v>Non démarré</v>
      </c>
      <c r="S31" s="19"/>
      <c r="T31" s="20"/>
      <c r="U31" s="19"/>
    </row>
    <row r="32" customFormat="false" ht="23.85" hidden="false" customHeight="false" outlineLevel="0" collapsed="false">
      <c r="A32" s="15" t="s">
        <v>150</v>
      </c>
      <c r="B32" s="15" t="s">
        <v>19</v>
      </c>
      <c r="C32" s="15" t="s">
        <v>151</v>
      </c>
      <c r="D32" s="15" t="s">
        <v>152</v>
      </c>
      <c r="E32" s="15" t="s">
        <v>31</v>
      </c>
      <c r="F32" s="16" t="s">
        <v>37</v>
      </c>
      <c r="G32" s="16" t="s">
        <v>35</v>
      </c>
      <c r="H32" s="16" t="s">
        <v>35</v>
      </c>
      <c r="I32" s="16" t="s">
        <v>35</v>
      </c>
      <c r="J32" s="16" t="s">
        <v>35</v>
      </c>
      <c r="K32" s="16" t="s">
        <v>35</v>
      </c>
      <c r="L32" s="16" t="s">
        <v>35</v>
      </c>
      <c r="M32" s="16" t="s">
        <v>35</v>
      </c>
      <c r="N32" s="16" t="s">
        <v>35</v>
      </c>
      <c r="O32" s="16" t="s">
        <v>35</v>
      </c>
      <c r="P32" s="16" t="s">
        <v>35</v>
      </c>
      <c r="Q32" s="17" t="n">
        <f aca="false">(COUNTIF(F32:P32,Paramètres!$A$7)*Paramètres!$B$7+COUNTIF(F32:P32,Paramètres!$A$6)*Paramètres!$B$6+COUNTIF(F32:P32,Paramètres!$A$5)*Paramètres!$B$5)/COLUMNS(F32:P32)</f>
        <v>0.0681818181818182</v>
      </c>
      <c r="R32" s="18" t="str">
        <f aca="false">IF(Q32&gt;=1,"Terminé",IF(COUNTIF(H32:P32,Paramètres!$A$4)=9,"Non démarré","En cours"))</f>
        <v>Non démarré</v>
      </c>
      <c r="S32" s="19"/>
      <c r="T32" s="20"/>
      <c r="U32" s="19"/>
    </row>
    <row r="33" customFormat="false" ht="23.85" hidden="false" customHeight="false" outlineLevel="0" collapsed="false">
      <c r="A33" s="15" t="s">
        <v>153</v>
      </c>
      <c r="B33" s="15" t="s">
        <v>19</v>
      </c>
      <c r="C33" s="15" t="s">
        <v>154</v>
      </c>
      <c r="D33" s="15" t="s">
        <v>152</v>
      </c>
      <c r="E33" s="15" t="s">
        <v>31</v>
      </c>
      <c r="F33" s="16" t="s">
        <v>37</v>
      </c>
      <c r="G33" s="16" t="s">
        <v>35</v>
      </c>
      <c r="H33" s="16" t="s">
        <v>35</v>
      </c>
      <c r="I33" s="16" t="s">
        <v>35</v>
      </c>
      <c r="J33" s="16" t="s">
        <v>35</v>
      </c>
      <c r="K33" s="16" t="s">
        <v>35</v>
      </c>
      <c r="L33" s="16" t="s">
        <v>35</v>
      </c>
      <c r="M33" s="16" t="s">
        <v>35</v>
      </c>
      <c r="N33" s="16" t="s">
        <v>35</v>
      </c>
      <c r="O33" s="16" t="s">
        <v>35</v>
      </c>
      <c r="P33" s="16" t="s">
        <v>35</v>
      </c>
      <c r="Q33" s="17" t="n">
        <f aca="false">(COUNTIF(F33:P33,Paramètres!$A$7)*Paramètres!$B$7+COUNTIF(F33:P33,Paramètres!$A$6)*Paramètres!$B$6+COUNTIF(F33:P33,Paramètres!$A$5)*Paramètres!$B$5)/COLUMNS(F33:P33)</f>
        <v>0.0681818181818182</v>
      </c>
      <c r="R33" s="18" t="str">
        <f aca="false">IF(Q33&gt;=1,"Terminé",IF(COUNTIF(H33:P33,Paramètres!$A$4)=9,"Non démarré","En cours"))</f>
        <v>Non démarré</v>
      </c>
      <c r="S33" s="19"/>
      <c r="T33" s="20"/>
      <c r="U33" s="19"/>
    </row>
    <row r="34" customFormat="false" ht="23.85" hidden="false" customHeight="false" outlineLevel="0" collapsed="false">
      <c r="A34" s="15" t="s">
        <v>155</v>
      </c>
      <c r="B34" s="15" t="s">
        <v>19</v>
      </c>
      <c r="C34" s="15" t="s">
        <v>156</v>
      </c>
      <c r="D34" s="15" t="s">
        <v>152</v>
      </c>
      <c r="E34" s="15" t="s">
        <v>31</v>
      </c>
      <c r="F34" s="16" t="s">
        <v>37</v>
      </c>
      <c r="G34" s="16" t="s">
        <v>35</v>
      </c>
      <c r="H34" s="16" t="s">
        <v>35</v>
      </c>
      <c r="I34" s="16" t="s">
        <v>35</v>
      </c>
      <c r="J34" s="16" t="s">
        <v>35</v>
      </c>
      <c r="K34" s="16" t="s">
        <v>35</v>
      </c>
      <c r="L34" s="16" t="s">
        <v>35</v>
      </c>
      <c r="M34" s="16" t="s">
        <v>35</v>
      </c>
      <c r="N34" s="16" t="s">
        <v>35</v>
      </c>
      <c r="O34" s="16" t="s">
        <v>35</v>
      </c>
      <c r="P34" s="16" t="s">
        <v>35</v>
      </c>
      <c r="Q34" s="17" t="n">
        <f aca="false">(COUNTIF(F34:P34,Paramètres!$A$7)*Paramètres!$B$7+COUNTIF(F34:P34,Paramètres!$A$6)*Paramètres!$B$6+COUNTIF(F34:P34,Paramètres!$A$5)*Paramètres!$B$5)/COLUMNS(F34:P34)</f>
        <v>0.0681818181818182</v>
      </c>
      <c r="R34" s="18" t="str">
        <f aca="false">IF(Q34&gt;=1,"Terminé",IF(COUNTIF(H34:P34,Paramètres!$A$4)=9,"Non démarré","En cours"))</f>
        <v>Non démarré</v>
      </c>
      <c r="S34" s="19"/>
      <c r="T34" s="20"/>
      <c r="U34" s="19"/>
    </row>
    <row r="35" customFormat="false" ht="23.85" hidden="false" customHeight="false" outlineLevel="0" collapsed="false">
      <c r="A35" s="15" t="s">
        <v>157</v>
      </c>
      <c r="B35" s="15" t="s">
        <v>19</v>
      </c>
      <c r="C35" s="15" t="s">
        <v>158</v>
      </c>
      <c r="D35" s="15" t="s">
        <v>152</v>
      </c>
      <c r="E35" s="15" t="s">
        <v>31</v>
      </c>
      <c r="F35" s="16" t="s">
        <v>37</v>
      </c>
      <c r="G35" s="16" t="s">
        <v>35</v>
      </c>
      <c r="H35" s="16" t="s">
        <v>35</v>
      </c>
      <c r="I35" s="16" t="s">
        <v>35</v>
      </c>
      <c r="J35" s="16" t="s">
        <v>35</v>
      </c>
      <c r="K35" s="16" t="s">
        <v>35</v>
      </c>
      <c r="L35" s="16" t="s">
        <v>35</v>
      </c>
      <c r="M35" s="16" t="s">
        <v>35</v>
      </c>
      <c r="N35" s="16" t="s">
        <v>35</v>
      </c>
      <c r="O35" s="16" t="s">
        <v>35</v>
      </c>
      <c r="P35" s="16" t="s">
        <v>35</v>
      </c>
      <c r="Q35" s="17" t="n">
        <f aca="false">(COUNTIF(F35:P35,Paramètres!$A$7)*Paramètres!$B$7+COUNTIF(F35:P35,Paramètres!$A$6)*Paramètres!$B$6+COUNTIF(F35:P35,Paramètres!$A$5)*Paramètres!$B$5)/COLUMNS(F35:P35)</f>
        <v>0.0681818181818182</v>
      </c>
      <c r="R35" s="18" t="str">
        <f aca="false">IF(Q35&gt;=1,"Terminé",IF(COUNTIF(H35:P35,Paramètres!$A$4)=9,"Non démarré","En cours"))</f>
        <v>Non démarré</v>
      </c>
      <c r="S35" s="19"/>
      <c r="T35" s="20"/>
      <c r="U35" s="19"/>
    </row>
    <row r="36" customFormat="false" ht="23.85" hidden="false" customHeight="false" outlineLevel="0" collapsed="false">
      <c r="A36" s="15" t="s">
        <v>159</v>
      </c>
      <c r="B36" s="15" t="s">
        <v>19</v>
      </c>
      <c r="C36" s="15" t="s">
        <v>160</v>
      </c>
      <c r="D36" s="15" t="s">
        <v>152</v>
      </c>
      <c r="E36" s="15" t="s">
        <v>31</v>
      </c>
      <c r="F36" s="16" t="s">
        <v>37</v>
      </c>
      <c r="G36" s="16" t="s">
        <v>35</v>
      </c>
      <c r="H36" s="16" t="s">
        <v>35</v>
      </c>
      <c r="I36" s="16" t="s">
        <v>35</v>
      </c>
      <c r="J36" s="16" t="s">
        <v>35</v>
      </c>
      <c r="K36" s="16" t="s">
        <v>35</v>
      </c>
      <c r="L36" s="16" t="s">
        <v>35</v>
      </c>
      <c r="M36" s="16" t="s">
        <v>35</v>
      </c>
      <c r="N36" s="16" t="s">
        <v>35</v>
      </c>
      <c r="O36" s="16" t="s">
        <v>35</v>
      </c>
      <c r="P36" s="16" t="s">
        <v>35</v>
      </c>
      <c r="Q36" s="17" t="n">
        <f aca="false">(COUNTIF(F36:P36,Paramètres!$A$7)*Paramètres!$B$7+COUNTIF(F36:P36,Paramètres!$A$6)*Paramètres!$B$6+COUNTIF(F36:P36,Paramètres!$A$5)*Paramètres!$B$5)/COLUMNS(F36:P36)</f>
        <v>0.0681818181818182</v>
      </c>
      <c r="R36" s="18" t="str">
        <f aca="false">IF(Q36&gt;=1,"Terminé",IF(COUNTIF(H36:P36,Paramètres!$A$4)=9,"Non démarré","En cours"))</f>
        <v>Non démarré</v>
      </c>
      <c r="S36" s="19"/>
      <c r="T36" s="20"/>
      <c r="U36" s="19"/>
    </row>
    <row r="37" customFormat="false" ht="23.85" hidden="false" customHeight="false" outlineLevel="0" collapsed="false">
      <c r="A37" s="15" t="s">
        <v>161</v>
      </c>
      <c r="B37" s="15" t="s">
        <v>19</v>
      </c>
      <c r="C37" s="15" t="s">
        <v>162</v>
      </c>
      <c r="D37" s="15" t="s">
        <v>152</v>
      </c>
      <c r="E37" s="15" t="s">
        <v>31</v>
      </c>
      <c r="F37" s="16" t="s">
        <v>37</v>
      </c>
      <c r="G37" s="16" t="s">
        <v>35</v>
      </c>
      <c r="H37" s="16" t="s">
        <v>35</v>
      </c>
      <c r="I37" s="16" t="s">
        <v>35</v>
      </c>
      <c r="J37" s="16" t="s">
        <v>35</v>
      </c>
      <c r="K37" s="16" t="s">
        <v>35</v>
      </c>
      <c r="L37" s="16" t="s">
        <v>35</v>
      </c>
      <c r="M37" s="16" t="s">
        <v>35</v>
      </c>
      <c r="N37" s="16" t="s">
        <v>35</v>
      </c>
      <c r="O37" s="16" t="s">
        <v>35</v>
      </c>
      <c r="P37" s="16" t="s">
        <v>35</v>
      </c>
      <c r="Q37" s="17" t="n">
        <f aca="false">(COUNTIF(F37:P37,Paramètres!$A$7)*Paramètres!$B$7+COUNTIF(F37:P37,Paramètres!$A$6)*Paramètres!$B$6+COUNTIF(F37:P37,Paramètres!$A$5)*Paramètres!$B$5)/COLUMNS(F37:P37)</f>
        <v>0.0681818181818182</v>
      </c>
      <c r="R37" s="18" t="str">
        <f aca="false">IF(Q37&gt;=1,"Terminé",IF(COUNTIF(H37:P37,Paramètres!$A$4)=9,"Non démarré","En cours"))</f>
        <v>Non démarré</v>
      </c>
      <c r="S37" s="19"/>
      <c r="T37" s="20"/>
      <c r="U37" s="19"/>
    </row>
    <row r="38" customFormat="false" ht="23.85" hidden="false" customHeight="false" outlineLevel="0" collapsed="false">
      <c r="A38" s="15" t="s">
        <v>163</v>
      </c>
      <c r="B38" s="15" t="s">
        <v>19</v>
      </c>
      <c r="C38" s="15" t="s">
        <v>164</v>
      </c>
      <c r="D38" s="15" t="s">
        <v>152</v>
      </c>
      <c r="E38" s="15" t="s">
        <v>31</v>
      </c>
      <c r="F38" s="16" t="s">
        <v>37</v>
      </c>
      <c r="G38" s="16" t="s">
        <v>35</v>
      </c>
      <c r="H38" s="16" t="s">
        <v>35</v>
      </c>
      <c r="I38" s="16" t="s">
        <v>35</v>
      </c>
      <c r="J38" s="16" t="s">
        <v>35</v>
      </c>
      <c r="K38" s="16" t="s">
        <v>35</v>
      </c>
      <c r="L38" s="16" t="s">
        <v>35</v>
      </c>
      <c r="M38" s="16" t="s">
        <v>35</v>
      </c>
      <c r="N38" s="16" t="s">
        <v>35</v>
      </c>
      <c r="O38" s="16" t="s">
        <v>35</v>
      </c>
      <c r="P38" s="16" t="s">
        <v>35</v>
      </c>
      <c r="Q38" s="17" t="n">
        <f aca="false">(COUNTIF(F38:P38,Paramètres!$A$7)*Paramètres!$B$7+COUNTIF(F38:P38,Paramètres!$A$6)*Paramètres!$B$6+COUNTIF(F38:P38,Paramètres!$A$5)*Paramètres!$B$5)/COLUMNS(F38:P38)</f>
        <v>0.0681818181818182</v>
      </c>
      <c r="R38" s="18" t="str">
        <f aca="false">IF(Q38&gt;=1,"Terminé",IF(COUNTIF(H38:P38,Paramètres!$A$4)=9,"Non démarré","En cours"))</f>
        <v>Non démarré</v>
      </c>
      <c r="S38" s="19"/>
      <c r="T38" s="20"/>
      <c r="U38" s="19"/>
    </row>
    <row r="39" customFormat="false" ht="23.85" hidden="false" customHeight="false" outlineLevel="0" collapsed="false">
      <c r="A39" s="15" t="s">
        <v>165</v>
      </c>
      <c r="B39" s="15" t="s">
        <v>19</v>
      </c>
      <c r="C39" s="15" t="s">
        <v>166</v>
      </c>
      <c r="D39" s="15" t="s">
        <v>152</v>
      </c>
      <c r="E39" s="15" t="s">
        <v>31</v>
      </c>
      <c r="F39" s="16" t="s">
        <v>37</v>
      </c>
      <c r="G39" s="16" t="s">
        <v>35</v>
      </c>
      <c r="H39" s="16" t="s">
        <v>35</v>
      </c>
      <c r="I39" s="16" t="s">
        <v>35</v>
      </c>
      <c r="J39" s="16" t="s">
        <v>35</v>
      </c>
      <c r="K39" s="16" t="s">
        <v>35</v>
      </c>
      <c r="L39" s="16" t="s">
        <v>35</v>
      </c>
      <c r="M39" s="16" t="s">
        <v>35</v>
      </c>
      <c r="N39" s="16" t="s">
        <v>35</v>
      </c>
      <c r="O39" s="16" t="s">
        <v>35</v>
      </c>
      <c r="P39" s="16" t="s">
        <v>35</v>
      </c>
      <c r="Q39" s="17" t="n">
        <f aca="false">(COUNTIF(F39:P39,Paramètres!$A$7)*Paramètres!$B$7+COUNTIF(F39:P39,Paramètres!$A$6)*Paramètres!$B$6+COUNTIF(F39:P39,Paramètres!$A$5)*Paramètres!$B$5)/COLUMNS(F39:P39)</f>
        <v>0.0681818181818182</v>
      </c>
      <c r="R39" s="18" t="str">
        <f aca="false">IF(Q39&gt;=1,"Terminé",IF(COUNTIF(H39:P39,Paramètres!$A$4)=9,"Non démarré","En cours"))</f>
        <v>Non démarré</v>
      </c>
      <c r="S39" s="19"/>
      <c r="T39" s="20"/>
      <c r="U39" s="19"/>
    </row>
    <row r="40" customFormat="false" ht="23.85" hidden="false" customHeight="false" outlineLevel="0" collapsed="false">
      <c r="A40" s="15" t="s">
        <v>167</v>
      </c>
      <c r="B40" s="15" t="s">
        <v>19</v>
      </c>
      <c r="C40" s="15" t="s">
        <v>168</v>
      </c>
      <c r="D40" s="15" t="s">
        <v>152</v>
      </c>
      <c r="E40" s="15" t="s">
        <v>31</v>
      </c>
      <c r="F40" s="16" t="s">
        <v>37</v>
      </c>
      <c r="G40" s="16" t="s">
        <v>35</v>
      </c>
      <c r="H40" s="16" t="s">
        <v>35</v>
      </c>
      <c r="I40" s="16" t="s">
        <v>35</v>
      </c>
      <c r="J40" s="16" t="s">
        <v>35</v>
      </c>
      <c r="K40" s="16" t="s">
        <v>35</v>
      </c>
      <c r="L40" s="16" t="s">
        <v>35</v>
      </c>
      <c r="M40" s="16" t="s">
        <v>35</v>
      </c>
      <c r="N40" s="16" t="s">
        <v>35</v>
      </c>
      <c r="O40" s="16" t="s">
        <v>35</v>
      </c>
      <c r="P40" s="16" t="s">
        <v>35</v>
      </c>
      <c r="Q40" s="17" t="n">
        <f aca="false">(COUNTIF(F40:P40,Paramètres!$A$7)*Paramètres!$B$7+COUNTIF(F40:P40,Paramètres!$A$6)*Paramètres!$B$6+COUNTIF(F40:P40,Paramètres!$A$5)*Paramètres!$B$5)/COLUMNS(F40:P40)</f>
        <v>0.0681818181818182</v>
      </c>
      <c r="R40" s="18" t="str">
        <f aca="false">IF(Q40&gt;=1,"Terminé",IF(COUNTIF(H40:P40,Paramètres!$A$4)=9,"Non démarré","En cours"))</f>
        <v>Non démarré</v>
      </c>
      <c r="S40" s="19"/>
      <c r="T40" s="20"/>
      <c r="U40" s="19"/>
    </row>
    <row r="41" customFormat="false" ht="23.85" hidden="false" customHeight="false" outlineLevel="0" collapsed="false">
      <c r="A41" s="15" t="s">
        <v>169</v>
      </c>
      <c r="B41" s="15" t="s">
        <v>20</v>
      </c>
      <c r="C41" s="15" t="s">
        <v>170</v>
      </c>
      <c r="D41" s="15" t="s">
        <v>171</v>
      </c>
      <c r="E41" s="15" t="s">
        <v>31</v>
      </c>
      <c r="F41" s="16" t="s">
        <v>37</v>
      </c>
      <c r="G41" s="16" t="s">
        <v>35</v>
      </c>
      <c r="H41" s="16" t="s">
        <v>35</v>
      </c>
      <c r="I41" s="16" t="s">
        <v>35</v>
      </c>
      <c r="J41" s="16" t="s">
        <v>35</v>
      </c>
      <c r="K41" s="16" t="s">
        <v>35</v>
      </c>
      <c r="L41" s="16" t="s">
        <v>35</v>
      </c>
      <c r="M41" s="16" t="s">
        <v>35</v>
      </c>
      <c r="N41" s="16" t="s">
        <v>35</v>
      </c>
      <c r="O41" s="16" t="s">
        <v>35</v>
      </c>
      <c r="P41" s="16" t="s">
        <v>35</v>
      </c>
      <c r="Q41" s="17" t="n">
        <f aca="false">(COUNTIF(F41:P41,Paramètres!$A$7)*Paramètres!$B$7+COUNTIF(F41:P41,Paramètres!$A$6)*Paramètres!$B$6+COUNTIF(F41:P41,Paramètres!$A$5)*Paramètres!$B$5)/COLUMNS(F41:P41)</f>
        <v>0.0681818181818182</v>
      </c>
      <c r="R41" s="18" t="str">
        <f aca="false">IF(Q41&gt;=1,"Terminé",IF(COUNTIF(H41:P41,Paramètres!$A$4)=9,"Non démarré","En cours"))</f>
        <v>Non démarré</v>
      </c>
      <c r="S41" s="19"/>
      <c r="T41" s="20"/>
      <c r="U41" s="19"/>
    </row>
    <row r="42" customFormat="false" ht="23.85" hidden="false" customHeight="false" outlineLevel="0" collapsed="false">
      <c r="A42" s="15" t="s">
        <v>172</v>
      </c>
      <c r="B42" s="15" t="s">
        <v>20</v>
      </c>
      <c r="C42" s="15" t="s">
        <v>173</v>
      </c>
      <c r="D42" s="15" t="s">
        <v>171</v>
      </c>
      <c r="E42" s="15" t="s">
        <v>31</v>
      </c>
      <c r="F42" s="16" t="s">
        <v>37</v>
      </c>
      <c r="G42" s="16" t="s">
        <v>35</v>
      </c>
      <c r="H42" s="16" t="s">
        <v>35</v>
      </c>
      <c r="I42" s="16" t="s">
        <v>35</v>
      </c>
      <c r="J42" s="16" t="s">
        <v>35</v>
      </c>
      <c r="K42" s="16" t="s">
        <v>35</v>
      </c>
      <c r="L42" s="16" t="s">
        <v>35</v>
      </c>
      <c r="M42" s="16" t="s">
        <v>35</v>
      </c>
      <c r="N42" s="16" t="s">
        <v>35</v>
      </c>
      <c r="O42" s="16" t="s">
        <v>35</v>
      </c>
      <c r="P42" s="16" t="s">
        <v>35</v>
      </c>
      <c r="Q42" s="17" t="n">
        <f aca="false">(COUNTIF(F42:P42,Paramètres!$A$7)*Paramètres!$B$7+COUNTIF(F42:P42,Paramètres!$A$6)*Paramètres!$B$6+COUNTIF(F42:P42,Paramètres!$A$5)*Paramètres!$B$5)/COLUMNS(F42:P42)</f>
        <v>0.0681818181818182</v>
      </c>
      <c r="R42" s="18" t="str">
        <f aca="false">IF(Q42&gt;=1,"Terminé",IF(COUNTIF(H42:P42,Paramètres!$A$4)=9,"Non démarré","En cours"))</f>
        <v>Non démarré</v>
      </c>
      <c r="S42" s="19"/>
      <c r="T42" s="20"/>
      <c r="U42" s="19"/>
    </row>
    <row r="43" customFormat="false" ht="23.85" hidden="false" customHeight="false" outlineLevel="0" collapsed="false">
      <c r="A43" s="15" t="s">
        <v>174</v>
      </c>
      <c r="B43" s="15" t="s">
        <v>20</v>
      </c>
      <c r="C43" s="15" t="s">
        <v>175</v>
      </c>
      <c r="D43" s="15" t="s">
        <v>171</v>
      </c>
      <c r="E43" s="15" t="s">
        <v>31</v>
      </c>
      <c r="F43" s="16" t="s">
        <v>37</v>
      </c>
      <c r="G43" s="16" t="s">
        <v>35</v>
      </c>
      <c r="H43" s="16" t="s">
        <v>35</v>
      </c>
      <c r="I43" s="16" t="s">
        <v>35</v>
      </c>
      <c r="J43" s="16" t="s">
        <v>35</v>
      </c>
      <c r="K43" s="16" t="s">
        <v>35</v>
      </c>
      <c r="L43" s="16" t="s">
        <v>35</v>
      </c>
      <c r="M43" s="16" t="s">
        <v>35</v>
      </c>
      <c r="N43" s="16" t="s">
        <v>35</v>
      </c>
      <c r="O43" s="16" t="s">
        <v>35</v>
      </c>
      <c r="P43" s="16" t="s">
        <v>35</v>
      </c>
      <c r="Q43" s="17" t="n">
        <f aca="false">(COUNTIF(F43:P43,Paramètres!$A$7)*Paramètres!$B$7+COUNTIF(F43:P43,Paramètres!$A$6)*Paramètres!$B$6+COUNTIF(F43:P43,Paramètres!$A$5)*Paramètres!$B$5)/COLUMNS(F43:P43)</f>
        <v>0.0681818181818182</v>
      </c>
      <c r="R43" s="18" t="str">
        <f aca="false">IF(Q43&gt;=1,"Terminé",IF(COUNTIF(H43:P43,Paramètres!$A$4)=9,"Non démarré","En cours"))</f>
        <v>Non démarré</v>
      </c>
      <c r="S43" s="19"/>
      <c r="T43" s="20"/>
      <c r="U43" s="19"/>
    </row>
    <row r="44" customFormat="false" ht="23.85" hidden="false" customHeight="false" outlineLevel="0" collapsed="false">
      <c r="A44" s="15" t="s">
        <v>176</v>
      </c>
      <c r="B44" s="15" t="s">
        <v>20</v>
      </c>
      <c r="C44" s="15" t="s">
        <v>177</v>
      </c>
      <c r="D44" s="15" t="s">
        <v>171</v>
      </c>
      <c r="E44" s="15" t="s">
        <v>31</v>
      </c>
      <c r="F44" s="16" t="s">
        <v>37</v>
      </c>
      <c r="G44" s="16" t="s">
        <v>35</v>
      </c>
      <c r="H44" s="16" t="s">
        <v>35</v>
      </c>
      <c r="I44" s="16" t="s">
        <v>35</v>
      </c>
      <c r="J44" s="16" t="s">
        <v>35</v>
      </c>
      <c r="K44" s="16" t="s">
        <v>35</v>
      </c>
      <c r="L44" s="16" t="s">
        <v>35</v>
      </c>
      <c r="M44" s="16" t="s">
        <v>35</v>
      </c>
      <c r="N44" s="16" t="s">
        <v>35</v>
      </c>
      <c r="O44" s="16" t="s">
        <v>35</v>
      </c>
      <c r="P44" s="16" t="s">
        <v>35</v>
      </c>
      <c r="Q44" s="17" t="n">
        <f aca="false">(COUNTIF(F44:P44,Paramètres!$A$7)*Paramètres!$B$7+COUNTIF(F44:P44,Paramètres!$A$6)*Paramètres!$B$6+COUNTIF(F44:P44,Paramètres!$A$5)*Paramètres!$B$5)/COLUMNS(F44:P44)</f>
        <v>0.0681818181818182</v>
      </c>
      <c r="R44" s="18" t="str">
        <f aca="false">IF(Q44&gt;=1,"Terminé",IF(COUNTIF(H44:P44,Paramètres!$A$4)=9,"Non démarré","En cours"))</f>
        <v>Non démarré</v>
      </c>
      <c r="S44" s="19"/>
      <c r="T44" s="20"/>
      <c r="U44" s="19"/>
    </row>
    <row r="45" customFormat="false" ht="23.85" hidden="false" customHeight="false" outlineLevel="0" collapsed="false">
      <c r="A45" s="15" t="s">
        <v>178</v>
      </c>
      <c r="B45" s="15" t="s">
        <v>20</v>
      </c>
      <c r="C45" s="15" t="s">
        <v>179</v>
      </c>
      <c r="D45" s="15" t="s">
        <v>171</v>
      </c>
      <c r="E45" s="15" t="s">
        <v>31</v>
      </c>
      <c r="F45" s="16" t="s">
        <v>37</v>
      </c>
      <c r="G45" s="16" t="s">
        <v>35</v>
      </c>
      <c r="H45" s="16" t="s">
        <v>35</v>
      </c>
      <c r="I45" s="16" t="s">
        <v>35</v>
      </c>
      <c r="J45" s="16" t="s">
        <v>35</v>
      </c>
      <c r="K45" s="16" t="s">
        <v>35</v>
      </c>
      <c r="L45" s="16" t="s">
        <v>35</v>
      </c>
      <c r="M45" s="16" t="s">
        <v>35</v>
      </c>
      <c r="N45" s="16" t="s">
        <v>35</v>
      </c>
      <c r="O45" s="16" t="s">
        <v>35</v>
      </c>
      <c r="P45" s="16" t="s">
        <v>35</v>
      </c>
      <c r="Q45" s="17" t="n">
        <f aca="false">(COUNTIF(F45:P45,Paramètres!$A$7)*Paramètres!$B$7+COUNTIF(F45:P45,Paramètres!$A$6)*Paramètres!$B$6+COUNTIF(F45:P45,Paramètres!$A$5)*Paramètres!$B$5)/COLUMNS(F45:P45)</f>
        <v>0.0681818181818182</v>
      </c>
      <c r="R45" s="18" t="str">
        <f aca="false">IF(Q45&gt;=1,"Terminé",IF(COUNTIF(H45:P45,Paramètres!$A$4)=9,"Non démarré","En cours"))</f>
        <v>Non démarré</v>
      </c>
      <c r="S45" s="19"/>
      <c r="T45" s="20"/>
      <c r="U45" s="19"/>
    </row>
    <row r="46" customFormat="false" ht="23.85" hidden="false" customHeight="false" outlineLevel="0" collapsed="false">
      <c r="A46" s="15" t="s">
        <v>180</v>
      </c>
      <c r="B46" s="15" t="s">
        <v>20</v>
      </c>
      <c r="C46" s="15" t="s">
        <v>181</v>
      </c>
      <c r="D46" s="15" t="s">
        <v>171</v>
      </c>
      <c r="E46" s="15" t="s">
        <v>31</v>
      </c>
      <c r="F46" s="16" t="s">
        <v>37</v>
      </c>
      <c r="G46" s="16" t="s">
        <v>35</v>
      </c>
      <c r="H46" s="16" t="s">
        <v>35</v>
      </c>
      <c r="I46" s="16" t="s">
        <v>35</v>
      </c>
      <c r="J46" s="16" t="s">
        <v>35</v>
      </c>
      <c r="K46" s="16" t="s">
        <v>35</v>
      </c>
      <c r="L46" s="16" t="s">
        <v>35</v>
      </c>
      <c r="M46" s="16" t="s">
        <v>35</v>
      </c>
      <c r="N46" s="16" t="s">
        <v>35</v>
      </c>
      <c r="O46" s="16" t="s">
        <v>35</v>
      </c>
      <c r="P46" s="16" t="s">
        <v>35</v>
      </c>
      <c r="Q46" s="17" t="n">
        <f aca="false">(COUNTIF(F46:P46,Paramètres!$A$7)*Paramètres!$B$7+COUNTIF(F46:P46,Paramètres!$A$6)*Paramètres!$B$6+COUNTIF(F46:P46,Paramètres!$A$5)*Paramètres!$B$5)/COLUMNS(F46:P46)</f>
        <v>0.0681818181818182</v>
      </c>
      <c r="R46" s="18" t="str">
        <f aca="false">IF(Q46&gt;=1,"Terminé",IF(COUNTIF(H46:P46,Paramètres!$A$4)=9,"Non démarré","En cours"))</f>
        <v>Non démarré</v>
      </c>
      <c r="S46" s="19"/>
      <c r="T46" s="20"/>
      <c r="U46" s="19"/>
    </row>
    <row r="47" customFormat="false" ht="23.85" hidden="false" customHeight="false" outlineLevel="0" collapsed="false">
      <c r="A47" s="15" t="s">
        <v>182</v>
      </c>
      <c r="B47" s="15" t="s">
        <v>20</v>
      </c>
      <c r="C47" s="15" t="s">
        <v>183</v>
      </c>
      <c r="D47" s="15" t="s">
        <v>171</v>
      </c>
      <c r="E47" s="15" t="s">
        <v>31</v>
      </c>
      <c r="F47" s="16" t="s">
        <v>37</v>
      </c>
      <c r="G47" s="16" t="s">
        <v>35</v>
      </c>
      <c r="H47" s="16" t="s">
        <v>35</v>
      </c>
      <c r="I47" s="16" t="s">
        <v>35</v>
      </c>
      <c r="J47" s="16" t="s">
        <v>35</v>
      </c>
      <c r="K47" s="16" t="s">
        <v>35</v>
      </c>
      <c r="L47" s="16" t="s">
        <v>35</v>
      </c>
      <c r="M47" s="16" t="s">
        <v>35</v>
      </c>
      <c r="N47" s="16" t="s">
        <v>35</v>
      </c>
      <c r="O47" s="16" t="s">
        <v>35</v>
      </c>
      <c r="P47" s="16" t="s">
        <v>35</v>
      </c>
      <c r="Q47" s="17" t="n">
        <f aca="false">(COUNTIF(F47:P47,Paramètres!$A$7)*Paramètres!$B$7+COUNTIF(F47:P47,Paramètres!$A$6)*Paramètres!$B$6+COUNTIF(F47:P47,Paramètres!$A$5)*Paramètres!$B$5)/COLUMNS(F47:P47)</f>
        <v>0.0681818181818182</v>
      </c>
      <c r="R47" s="18" t="str">
        <f aca="false">IF(Q47&gt;=1,"Terminé",IF(COUNTIF(H47:P47,Paramètres!$A$4)=9,"Non démarré","En cours"))</f>
        <v>Non démarré</v>
      </c>
      <c r="S47" s="19"/>
      <c r="T47" s="20"/>
      <c r="U47" s="19"/>
    </row>
    <row r="48" customFormat="false" ht="23.85" hidden="false" customHeight="false" outlineLevel="0" collapsed="false">
      <c r="A48" s="15" t="s">
        <v>184</v>
      </c>
      <c r="B48" s="15" t="s">
        <v>21</v>
      </c>
      <c r="C48" s="15" t="s">
        <v>185</v>
      </c>
      <c r="D48" s="15" t="s">
        <v>186</v>
      </c>
      <c r="E48" s="15" t="s">
        <v>31</v>
      </c>
      <c r="F48" s="16" t="s">
        <v>37</v>
      </c>
      <c r="G48" s="16" t="s">
        <v>35</v>
      </c>
      <c r="H48" s="16" t="s">
        <v>35</v>
      </c>
      <c r="I48" s="16" t="s">
        <v>35</v>
      </c>
      <c r="J48" s="16" t="s">
        <v>35</v>
      </c>
      <c r="K48" s="16" t="s">
        <v>35</v>
      </c>
      <c r="L48" s="16" t="s">
        <v>35</v>
      </c>
      <c r="M48" s="16" t="s">
        <v>35</v>
      </c>
      <c r="N48" s="16" t="s">
        <v>35</v>
      </c>
      <c r="O48" s="16" t="s">
        <v>35</v>
      </c>
      <c r="P48" s="16" t="s">
        <v>35</v>
      </c>
      <c r="Q48" s="17" t="n">
        <f aca="false">(COUNTIF(F48:P48,Paramètres!$A$7)*Paramètres!$B$7+COUNTIF(F48:P48,Paramètres!$A$6)*Paramètres!$B$6+COUNTIF(F48:P48,Paramètres!$A$5)*Paramètres!$B$5)/COLUMNS(F48:P48)</f>
        <v>0.0681818181818182</v>
      </c>
      <c r="R48" s="18" t="str">
        <f aca="false">IF(Q48&gt;=1,"Terminé",IF(COUNTIF(H48:P48,Paramètres!$A$4)=9,"Non démarré","En cours"))</f>
        <v>Non démarré</v>
      </c>
      <c r="S48" s="19"/>
      <c r="T48" s="20"/>
      <c r="U48" s="19"/>
    </row>
    <row r="49" customFormat="false" ht="23.85" hidden="false" customHeight="false" outlineLevel="0" collapsed="false">
      <c r="A49" s="15" t="s">
        <v>187</v>
      </c>
      <c r="B49" s="15" t="s">
        <v>21</v>
      </c>
      <c r="C49" s="15" t="s">
        <v>188</v>
      </c>
      <c r="D49" s="15" t="s">
        <v>186</v>
      </c>
      <c r="E49" s="15" t="s">
        <v>31</v>
      </c>
      <c r="F49" s="16" t="s">
        <v>37</v>
      </c>
      <c r="G49" s="16" t="s">
        <v>35</v>
      </c>
      <c r="H49" s="16" t="s">
        <v>35</v>
      </c>
      <c r="I49" s="16" t="s">
        <v>35</v>
      </c>
      <c r="J49" s="16" t="s">
        <v>35</v>
      </c>
      <c r="K49" s="16" t="s">
        <v>35</v>
      </c>
      <c r="L49" s="16" t="s">
        <v>35</v>
      </c>
      <c r="M49" s="16" t="s">
        <v>35</v>
      </c>
      <c r="N49" s="16" t="s">
        <v>35</v>
      </c>
      <c r="O49" s="16" t="s">
        <v>35</v>
      </c>
      <c r="P49" s="16" t="s">
        <v>35</v>
      </c>
      <c r="Q49" s="17" t="n">
        <f aca="false">(COUNTIF(F49:P49,Paramètres!$A$7)*Paramètres!$B$7+COUNTIF(F49:P49,Paramètres!$A$6)*Paramètres!$B$6+COUNTIF(F49:P49,Paramètres!$A$5)*Paramètres!$B$5)/COLUMNS(F49:P49)</f>
        <v>0.0681818181818182</v>
      </c>
      <c r="R49" s="18" t="str">
        <f aca="false">IF(Q49&gt;=1,"Terminé",IF(COUNTIF(H49:P49,Paramètres!$A$4)=9,"Non démarré","En cours"))</f>
        <v>Non démarré</v>
      </c>
      <c r="S49" s="19"/>
      <c r="T49" s="20"/>
      <c r="U49" s="19"/>
    </row>
    <row r="50" customFormat="false" ht="23.85" hidden="false" customHeight="false" outlineLevel="0" collapsed="false">
      <c r="A50" s="15" t="s">
        <v>189</v>
      </c>
      <c r="B50" s="15" t="s">
        <v>21</v>
      </c>
      <c r="C50" s="15" t="s">
        <v>190</v>
      </c>
      <c r="D50" s="15" t="s">
        <v>186</v>
      </c>
      <c r="E50" s="15" t="s">
        <v>31</v>
      </c>
      <c r="F50" s="16" t="s">
        <v>37</v>
      </c>
      <c r="G50" s="16" t="s">
        <v>35</v>
      </c>
      <c r="H50" s="16" t="s">
        <v>35</v>
      </c>
      <c r="I50" s="16" t="s">
        <v>35</v>
      </c>
      <c r="J50" s="16" t="s">
        <v>35</v>
      </c>
      <c r="K50" s="16" t="s">
        <v>35</v>
      </c>
      <c r="L50" s="16" t="s">
        <v>35</v>
      </c>
      <c r="M50" s="16" t="s">
        <v>35</v>
      </c>
      <c r="N50" s="16" t="s">
        <v>35</v>
      </c>
      <c r="O50" s="16" t="s">
        <v>35</v>
      </c>
      <c r="P50" s="16" t="s">
        <v>35</v>
      </c>
      <c r="Q50" s="17" t="n">
        <f aca="false">(COUNTIF(F50:P50,Paramètres!$A$7)*Paramètres!$B$7+COUNTIF(F50:P50,Paramètres!$A$6)*Paramètres!$B$6+COUNTIF(F50:P50,Paramètres!$A$5)*Paramètres!$B$5)/COLUMNS(F50:P50)</f>
        <v>0.0681818181818182</v>
      </c>
      <c r="R50" s="18" t="str">
        <f aca="false">IF(Q50&gt;=1,"Terminé",IF(COUNTIF(H50:P50,Paramètres!$A$4)=9,"Non démarré","En cours"))</f>
        <v>Non démarré</v>
      </c>
      <c r="S50" s="19"/>
      <c r="T50" s="20"/>
      <c r="U50" s="19"/>
    </row>
    <row r="51" customFormat="false" ht="23.85" hidden="false" customHeight="false" outlineLevel="0" collapsed="false">
      <c r="A51" s="15" t="s">
        <v>191</v>
      </c>
      <c r="B51" s="15" t="s">
        <v>21</v>
      </c>
      <c r="C51" s="15" t="s">
        <v>192</v>
      </c>
      <c r="D51" s="15" t="s">
        <v>186</v>
      </c>
      <c r="E51" s="15" t="s">
        <v>31</v>
      </c>
      <c r="F51" s="16" t="s">
        <v>37</v>
      </c>
      <c r="G51" s="16" t="s">
        <v>35</v>
      </c>
      <c r="H51" s="16" t="s">
        <v>35</v>
      </c>
      <c r="I51" s="16" t="s">
        <v>35</v>
      </c>
      <c r="J51" s="16" t="s">
        <v>35</v>
      </c>
      <c r="K51" s="16" t="s">
        <v>35</v>
      </c>
      <c r="L51" s="16" t="s">
        <v>35</v>
      </c>
      <c r="M51" s="16" t="s">
        <v>35</v>
      </c>
      <c r="N51" s="16" t="s">
        <v>35</v>
      </c>
      <c r="O51" s="16" t="s">
        <v>35</v>
      </c>
      <c r="P51" s="16" t="s">
        <v>35</v>
      </c>
      <c r="Q51" s="17" t="n">
        <f aca="false">(COUNTIF(F51:P51,Paramètres!$A$7)*Paramètres!$B$7+COUNTIF(F51:P51,Paramètres!$A$6)*Paramètres!$B$6+COUNTIF(F51:P51,Paramètres!$A$5)*Paramètres!$B$5)/COLUMNS(F51:P51)</f>
        <v>0.0681818181818182</v>
      </c>
      <c r="R51" s="18" t="str">
        <f aca="false">IF(Q51&gt;=1,"Terminé",IF(COUNTIF(H51:P51,Paramètres!$A$4)=9,"Non démarré","En cours"))</f>
        <v>Non démarré</v>
      </c>
      <c r="S51" s="19"/>
      <c r="T51" s="20"/>
      <c r="U51" s="19"/>
    </row>
    <row r="52" customFormat="false" ht="23.85" hidden="false" customHeight="false" outlineLevel="0" collapsed="false">
      <c r="A52" s="15" t="s">
        <v>193</v>
      </c>
      <c r="B52" s="15" t="s">
        <v>21</v>
      </c>
      <c r="C52" s="15" t="s">
        <v>194</v>
      </c>
      <c r="D52" s="15" t="s">
        <v>186</v>
      </c>
      <c r="E52" s="15" t="s">
        <v>31</v>
      </c>
      <c r="F52" s="16" t="s">
        <v>37</v>
      </c>
      <c r="G52" s="16" t="s">
        <v>35</v>
      </c>
      <c r="H52" s="16" t="s">
        <v>35</v>
      </c>
      <c r="I52" s="16" t="s">
        <v>35</v>
      </c>
      <c r="J52" s="16" t="s">
        <v>35</v>
      </c>
      <c r="K52" s="16" t="s">
        <v>35</v>
      </c>
      <c r="L52" s="16" t="s">
        <v>35</v>
      </c>
      <c r="M52" s="16" t="s">
        <v>35</v>
      </c>
      <c r="N52" s="16" t="s">
        <v>35</v>
      </c>
      <c r="O52" s="16" t="s">
        <v>35</v>
      </c>
      <c r="P52" s="16" t="s">
        <v>35</v>
      </c>
      <c r="Q52" s="17" t="n">
        <f aca="false">(COUNTIF(F52:P52,Paramètres!$A$7)*Paramètres!$B$7+COUNTIF(F52:P52,Paramètres!$A$6)*Paramètres!$B$6+COUNTIF(F52:P52,Paramètres!$A$5)*Paramètres!$B$5)/COLUMNS(F52:P52)</f>
        <v>0.0681818181818182</v>
      </c>
      <c r="R52" s="18" t="str">
        <f aca="false">IF(Q52&gt;=1,"Terminé",IF(COUNTIF(H52:P52,Paramètres!$A$4)=9,"Non démarré","En cours"))</f>
        <v>Non démarré</v>
      </c>
      <c r="S52" s="19"/>
      <c r="T52" s="20"/>
      <c r="U52" s="19"/>
    </row>
    <row r="53" customFormat="false" ht="23.85" hidden="false" customHeight="false" outlineLevel="0" collapsed="false">
      <c r="A53" s="15" t="s">
        <v>195</v>
      </c>
      <c r="B53" s="15" t="s">
        <v>21</v>
      </c>
      <c r="C53" s="15" t="s">
        <v>196</v>
      </c>
      <c r="D53" s="15" t="s">
        <v>186</v>
      </c>
      <c r="E53" s="15" t="s">
        <v>31</v>
      </c>
      <c r="F53" s="16" t="s">
        <v>37</v>
      </c>
      <c r="G53" s="16" t="s">
        <v>35</v>
      </c>
      <c r="H53" s="16" t="s">
        <v>35</v>
      </c>
      <c r="I53" s="16" t="s">
        <v>35</v>
      </c>
      <c r="J53" s="16" t="s">
        <v>35</v>
      </c>
      <c r="K53" s="16" t="s">
        <v>35</v>
      </c>
      <c r="L53" s="16" t="s">
        <v>35</v>
      </c>
      <c r="M53" s="16" t="s">
        <v>35</v>
      </c>
      <c r="N53" s="16" t="s">
        <v>35</v>
      </c>
      <c r="O53" s="16" t="s">
        <v>35</v>
      </c>
      <c r="P53" s="16" t="s">
        <v>35</v>
      </c>
      <c r="Q53" s="17" t="n">
        <f aca="false">(COUNTIF(F53:P53,Paramètres!$A$7)*Paramètres!$B$7+COUNTIF(F53:P53,Paramètres!$A$6)*Paramètres!$B$6+COUNTIF(F53:P53,Paramètres!$A$5)*Paramètres!$B$5)/COLUMNS(F53:P53)</f>
        <v>0.0681818181818182</v>
      </c>
      <c r="R53" s="18" t="str">
        <f aca="false">IF(Q53&gt;=1,"Terminé",IF(COUNTIF(H53:P53,Paramètres!$A$4)=9,"Non démarré","En cours"))</f>
        <v>Non démarré</v>
      </c>
      <c r="S53" s="19"/>
      <c r="T53" s="20"/>
      <c r="U53" s="19"/>
    </row>
    <row r="54" customFormat="false" ht="23.85" hidden="false" customHeight="false" outlineLevel="0" collapsed="false">
      <c r="A54" s="15" t="s">
        <v>197</v>
      </c>
      <c r="B54" s="15" t="s">
        <v>21</v>
      </c>
      <c r="C54" s="15" t="s">
        <v>198</v>
      </c>
      <c r="D54" s="15" t="s">
        <v>186</v>
      </c>
      <c r="E54" s="15" t="s">
        <v>31</v>
      </c>
      <c r="F54" s="16" t="s">
        <v>37</v>
      </c>
      <c r="G54" s="16" t="s">
        <v>35</v>
      </c>
      <c r="H54" s="16" t="s">
        <v>35</v>
      </c>
      <c r="I54" s="16" t="s">
        <v>35</v>
      </c>
      <c r="J54" s="16" t="s">
        <v>35</v>
      </c>
      <c r="K54" s="16" t="s">
        <v>35</v>
      </c>
      <c r="L54" s="16" t="s">
        <v>35</v>
      </c>
      <c r="M54" s="16" t="s">
        <v>35</v>
      </c>
      <c r="N54" s="16" t="s">
        <v>35</v>
      </c>
      <c r="O54" s="16" t="s">
        <v>35</v>
      </c>
      <c r="P54" s="16" t="s">
        <v>35</v>
      </c>
      <c r="Q54" s="17" t="n">
        <f aca="false">(COUNTIF(F54:P54,Paramètres!$A$7)*Paramètres!$B$7+COUNTIF(F54:P54,Paramètres!$A$6)*Paramètres!$B$6+COUNTIF(F54:P54,Paramètres!$A$5)*Paramètres!$B$5)/COLUMNS(F54:P54)</f>
        <v>0.0681818181818182</v>
      </c>
      <c r="R54" s="18" t="str">
        <f aca="false">IF(Q54&gt;=1,"Terminé",IF(COUNTIF(H54:P54,Paramètres!$A$4)=9,"Non démarré","En cours"))</f>
        <v>Non démarré</v>
      </c>
      <c r="S54" s="19"/>
      <c r="T54" s="20"/>
      <c r="U54" s="19"/>
    </row>
    <row r="55" customFormat="false" ht="23.85" hidden="false" customHeight="false" outlineLevel="0" collapsed="false">
      <c r="A55" s="15" t="s">
        <v>199</v>
      </c>
      <c r="B55" s="15" t="s">
        <v>21</v>
      </c>
      <c r="C55" s="15" t="s">
        <v>200</v>
      </c>
      <c r="D55" s="15" t="s">
        <v>186</v>
      </c>
      <c r="E55" s="15" t="s">
        <v>31</v>
      </c>
      <c r="F55" s="16" t="s">
        <v>37</v>
      </c>
      <c r="G55" s="16" t="s">
        <v>35</v>
      </c>
      <c r="H55" s="16" t="s">
        <v>35</v>
      </c>
      <c r="I55" s="16" t="s">
        <v>35</v>
      </c>
      <c r="J55" s="16" t="s">
        <v>35</v>
      </c>
      <c r="K55" s="16" t="s">
        <v>35</v>
      </c>
      <c r="L55" s="16" t="s">
        <v>35</v>
      </c>
      <c r="M55" s="16" t="s">
        <v>35</v>
      </c>
      <c r="N55" s="16" t="s">
        <v>35</v>
      </c>
      <c r="O55" s="16" t="s">
        <v>35</v>
      </c>
      <c r="P55" s="16" t="s">
        <v>35</v>
      </c>
      <c r="Q55" s="17" t="n">
        <f aca="false">(COUNTIF(F55:P55,Paramètres!$A$7)*Paramètres!$B$7+COUNTIF(F55:P55,Paramètres!$A$6)*Paramètres!$B$6+COUNTIF(F55:P55,Paramètres!$A$5)*Paramètres!$B$5)/COLUMNS(F55:P55)</f>
        <v>0.0681818181818182</v>
      </c>
      <c r="R55" s="18" t="str">
        <f aca="false">IF(Q55&gt;=1,"Terminé",IF(COUNTIF(H55:P55,Paramètres!$A$4)=9,"Non démarré","En cours"))</f>
        <v>Non démarré</v>
      </c>
      <c r="S55" s="19"/>
      <c r="T55" s="20"/>
      <c r="U55" s="19"/>
    </row>
    <row r="56" customFormat="false" ht="23.85" hidden="false" customHeight="false" outlineLevel="0" collapsed="false">
      <c r="A56" s="15" t="s">
        <v>201</v>
      </c>
      <c r="B56" s="15" t="s">
        <v>22</v>
      </c>
      <c r="C56" s="15" t="s">
        <v>202</v>
      </c>
      <c r="D56" s="15" t="s">
        <v>203</v>
      </c>
      <c r="E56" s="15" t="s">
        <v>32</v>
      </c>
      <c r="F56" s="16" t="s">
        <v>37</v>
      </c>
      <c r="G56" s="16" t="s">
        <v>35</v>
      </c>
      <c r="H56" s="16" t="s">
        <v>35</v>
      </c>
      <c r="I56" s="16" t="s">
        <v>35</v>
      </c>
      <c r="J56" s="16" t="s">
        <v>35</v>
      </c>
      <c r="K56" s="16" t="s">
        <v>35</v>
      </c>
      <c r="L56" s="16" t="s">
        <v>35</v>
      </c>
      <c r="M56" s="16" t="s">
        <v>35</v>
      </c>
      <c r="N56" s="16" t="s">
        <v>35</v>
      </c>
      <c r="O56" s="16" t="s">
        <v>35</v>
      </c>
      <c r="P56" s="16" t="s">
        <v>35</v>
      </c>
      <c r="Q56" s="17" t="n">
        <f aca="false">(COUNTIF(F56:P56,Paramètres!$A$7)*Paramètres!$B$7+COUNTIF(F56:P56,Paramètres!$A$6)*Paramètres!$B$6+COUNTIF(F56:P56,Paramètres!$A$5)*Paramètres!$B$5)/COLUMNS(F56:P56)</f>
        <v>0.0681818181818182</v>
      </c>
      <c r="R56" s="18" t="str">
        <f aca="false">IF(Q56&gt;=1,"Terminé",IF(COUNTIF(H56:P56,Paramètres!$A$4)=9,"Non démarré","En cours"))</f>
        <v>Non démarré</v>
      </c>
      <c r="S56" s="19"/>
      <c r="T56" s="20"/>
      <c r="U56" s="19"/>
    </row>
    <row r="57" customFormat="false" ht="23.85" hidden="false" customHeight="false" outlineLevel="0" collapsed="false">
      <c r="A57" s="15" t="s">
        <v>204</v>
      </c>
      <c r="B57" s="15" t="s">
        <v>22</v>
      </c>
      <c r="C57" s="15" t="s">
        <v>205</v>
      </c>
      <c r="D57" s="15" t="s">
        <v>203</v>
      </c>
      <c r="E57" s="15" t="s">
        <v>32</v>
      </c>
      <c r="F57" s="16" t="s">
        <v>37</v>
      </c>
      <c r="G57" s="16" t="s">
        <v>35</v>
      </c>
      <c r="H57" s="16" t="s">
        <v>35</v>
      </c>
      <c r="I57" s="16" t="s">
        <v>35</v>
      </c>
      <c r="J57" s="16" t="s">
        <v>35</v>
      </c>
      <c r="K57" s="16" t="s">
        <v>35</v>
      </c>
      <c r="L57" s="16" t="s">
        <v>35</v>
      </c>
      <c r="M57" s="16" t="s">
        <v>35</v>
      </c>
      <c r="N57" s="16" t="s">
        <v>35</v>
      </c>
      <c r="O57" s="16" t="s">
        <v>35</v>
      </c>
      <c r="P57" s="16" t="s">
        <v>35</v>
      </c>
      <c r="Q57" s="17" t="n">
        <f aca="false">(COUNTIF(F57:P57,Paramètres!$A$7)*Paramètres!$B$7+COUNTIF(F57:P57,Paramètres!$A$6)*Paramètres!$B$6+COUNTIF(F57:P57,Paramètres!$A$5)*Paramètres!$B$5)/COLUMNS(F57:P57)</f>
        <v>0.0681818181818182</v>
      </c>
      <c r="R57" s="18" t="str">
        <f aca="false">IF(Q57&gt;=1,"Terminé",IF(COUNTIF(H57:P57,Paramètres!$A$4)=9,"Non démarré","En cours"))</f>
        <v>Non démarré</v>
      </c>
      <c r="S57" s="19"/>
      <c r="T57" s="20"/>
      <c r="U57" s="19"/>
    </row>
    <row r="58" customFormat="false" ht="23.85" hidden="false" customHeight="false" outlineLevel="0" collapsed="false">
      <c r="A58" s="15" t="s">
        <v>206</v>
      </c>
      <c r="B58" s="15" t="s">
        <v>22</v>
      </c>
      <c r="C58" s="15" t="s">
        <v>207</v>
      </c>
      <c r="D58" s="15" t="s">
        <v>203</v>
      </c>
      <c r="E58" s="15" t="s">
        <v>32</v>
      </c>
      <c r="F58" s="16" t="s">
        <v>37</v>
      </c>
      <c r="G58" s="16" t="s">
        <v>35</v>
      </c>
      <c r="H58" s="16" t="s">
        <v>35</v>
      </c>
      <c r="I58" s="16" t="s">
        <v>35</v>
      </c>
      <c r="J58" s="16" t="s">
        <v>35</v>
      </c>
      <c r="K58" s="16" t="s">
        <v>35</v>
      </c>
      <c r="L58" s="16" t="s">
        <v>35</v>
      </c>
      <c r="M58" s="16" t="s">
        <v>35</v>
      </c>
      <c r="N58" s="16" t="s">
        <v>35</v>
      </c>
      <c r="O58" s="16" t="s">
        <v>35</v>
      </c>
      <c r="P58" s="16" t="s">
        <v>35</v>
      </c>
      <c r="Q58" s="17" t="n">
        <f aca="false">(COUNTIF(F58:P58,Paramètres!$A$7)*Paramètres!$B$7+COUNTIF(F58:P58,Paramètres!$A$6)*Paramètres!$B$6+COUNTIF(F58:P58,Paramètres!$A$5)*Paramètres!$B$5)/COLUMNS(F58:P58)</f>
        <v>0.0681818181818182</v>
      </c>
      <c r="R58" s="18" t="str">
        <f aca="false">IF(Q58&gt;=1,"Terminé",IF(COUNTIF(H58:P58,Paramètres!$A$4)=9,"Non démarré","En cours"))</f>
        <v>Non démarré</v>
      </c>
      <c r="S58" s="19"/>
      <c r="T58" s="20"/>
      <c r="U58" s="19"/>
    </row>
    <row r="59" customFormat="false" ht="23.85" hidden="false" customHeight="false" outlineLevel="0" collapsed="false">
      <c r="A59" s="15" t="s">
        <v>208</v>
      </c>
      <c r="B59" s="15" t="s">
        <v>23</v>
      </c>
      <c r="C59" s="15" t="s">
        <v>209</v>
      </c>
      <c r="D59" s="15" t="s">
        <v>210</v>
      </c>
      <c r="E59" s="15" t="s">
        <v>32</v>
      </c>
      <c r="F59" s="16" t="s">
        <v>37</v>
      </c>
      <c r="G59" s="16" t="s">
        <v>35</v>
      </c>
      <c r="H59" s="16" t="s">
        <v>35</v>
      </c>
      <c r="I59" s="16" t="s">
        <v>35</v>
      </c>
      <c r="J59" s="16" t="s">
        <v>35</v>
      </c>
      <c r="K59" s="16" t="s">
        <v>35</v>
      </c>
      <c r="L59" s="16" t="s">
        <v>35</v>
      </c>
      <c r="M59" s="16" t="s">
        <v>35</v>
      </c>
      <c r="N59" s="16" t="s">
        <v>35</v>
      </c>
      <c r="O59" s="16" t="s">
        <v>35</v>
      </c>
      <c r="P59" s="16" t="s">
        <v>35</v>
      </c>
      <c r="Q59" s="17" t="n">
        <f aca="false">(COUNTIF(F59:P59,Paramètres!$A$7)*Paramètres!$B$7+COUNTIF(F59:P59,Paramètres!$A$6)*Paramètres!$B$6+COUNTIF(F59:P59,Paramètres!$A$5)*Paramètres!$B$5)/COLUMNS(F59:P59)</f>
        <v>0.0681818181818182</v>
      </c>
      <c r="R59" s="18" t="str">
        <f aca="false">IF(Q59&gt;=1,"Terminé",IF(COUNTIF(H59:P59,Paramètres!$A$4)=9,"Non démarré","En cours"))</f>
        <v>Non démarré</v>
      </c>
      <c r="S59" s="19"/>
      <c r="T59" s="20"/>
      <c r="U59" s="19"/>
    </row>
    <row r="60" customFormat="false" ht="23.85" hidden="false" customHeight="false" outlineLevel="0" collapsed="false">
      <c r="A60" s="15" t="s">
        <v>211</v>
      </c>
      <c r="B60" s="15" t="s">
        <v>23</v>
      </c>
      <c r="C60" s="15" t="s">
        <v>212</v>
      </c>
      <c r="D60" s="15" t="s">
        <v>210</v>
      </c>
      <c r="E60" s="15" t="s">
        <v>32</v>
      </c>
      <c r="F60" s="16" t="s">
        <v>37</v>
      </c>
      <c r="G60" s="16" t="s">
        <v>35</v>
      </c>
      <c r="H60" s="16" t="s">
        <v>35</v>
      </c>
      <c r="I60" s="16" t="s">
        <v>35</v>
      </c>
      <c r="J60" s="16" t="s">
        <v>35</v>
      </c>
      <c r="K60" s="16" t="s">
        <v>35</v>
      </c>
      <c r="L60" s="16" t="s">
        <v>35</v>
      </c>
      <c r="M60" s="16" t="s">
        <v>35</v>
      </c>
      <c r="N60" s="16" t="s">
        <v>35</v>
      </c>
      <c r="O60" s="16" t="s">
        <v>35</v>
      </c>
      <c r="P60" s="16" t="s">
        <v>35</v>
      </c>
      <c r="Q60" s="17" t="n">
        <f aca="false">(COUNTIF(F60:P60,Paramètres!$A$7)*Paramètres!$B$7+COUNTIF(F60:P60,Paramètres!$A$6)*Paramètres!$B$6+COUNTIF(F60:P60,Paramètres!$A$5)*Paramètres!$B$5)/COLUMNS(F60:P60)</f>
        <v>0.0681818181818182</v>
      </c>
      <c r="R60" s="18" t="str">
        <f aca="false">IF(Q60&gt;=1,"Terminé",IF(COUNTIF(H60:P60,Paramètres!$A$4)=9,"Non démarré","En cours"))</f>
        <v>Non démarré</v>
      </c>
      <c r="S60" s="19"/>
      <c r="T60" s="20"/>
      <c r="U60" s="19"/>
    </row>
    <row r="61" customFormat="false" ht="23.85" hidden="false" customHeight="false" outlineLevel="0" collapsed="false">
      <c r="A61" s="15" t="s">
        <v>213</v>
      </c>
      <c r="B61" s="15" t="s">
        <v>23</v>
      </c>
      <c r="C61" s="15" t="s">
        <v>214</v>
      </c>
      <c r="D61" s="15" t="s">
        <v>210</v>
      </c>
      <c r="E61" s="15" t="s">
        <v>32</v>
      </c>
      <c r="F61" s="16" t="s">
        <v>37</v>
      </c>
      <c r="G61" s="16" t="s">
        <v>35</v>
      </c>
      <c r="H61" s="16" t="s">
        <v>35</v>
      </c>
      <c r="I61" s="16" t="s">
        <v>35</v>
      </c>
      <c r="J61" s="16" t="s">
        <v>35</v>
      </c>
      <c r="K61" s="16" t="s">
        <v>35</v>
      </c>
      <c r="L61" s="16" t="s">
        <v>35</v>
      </c>
      <c r="M61" s="16" t="s">
        <v>35</v>
      </c>
      <c r="N61" s="16" t="s">
        <v>35</v>
      </c>
      <c r="O61" s="16" t="s">
        <v>35</v>
      </c>
      <c r="P61" s="16" t="s">
        <v>35</v>
      </c>
      <c r="Q61" s="17" t="n">
        <f aca="false">(COUNTIF(F61:P61,Paramètres!$A$7)*Paramètres!$B$7+COUNTIF(F61:P61,Paramètres!$A$6)*Paramètres!$B$6+COUNTIF(F61:P61,Paramètres!$A$5)*Paramètres!$B$5)/COLUMNS(F61:P61)</f>
        <v>0.0681818181818182</v>
      </c>
      <c r="R61" s="18" t="str">
        <f aca="false">IF(Q61&gt;=1,"Terminé",IF(COUNTIF(H61:P61,Paramètres!$A$4)=9,"Non démarré","En cours"))</f>
        <v>Non démarré</v>
      </c>
      <c r="S61" s="19"/>
      <c r="T61" s="20"/>
      <c r="U61" s="19"/>
    </row>
    <row r="62" customFormat="false" ht="23.85" hidden="false" customHeight="false" outlineLevel="0" collapsed="false">
      <c r="A62" s="15" t="s">
        <v>215</v>
      </c>
      <c r="B62" s="15" t="s">
        <v>23</v>
      </c>
      <c r="C62" s="15" t="s">
        <v>216</v>
      </c>
      <c r="D62" s="15" t="s">
        <v>210</v>
      </c>
      <c r="E62" s="15" t="s">
        <v>32</v>
      </c>
      <c r="F62" s="16" t="s">
        <v>37</v>
      </c>
      <c r="G62" s="16" t="s">
        <v>35</v>
      </c>
      <c r="H62" s="16" t="s">
        <v>35</v>
      </c>
      <c r="I62" s="16" t="s">
        <v>35</v>
      </c>
      <c r="J62" s="16" t="s">
        <v>35</v>
      </c>
      <c r="K62" s="16" t="s">
        <v>35</v>
      </c>
      <c r="L62" s="16" t="s">
        <v>35</v>
      </c>
      <c r="M62" s="16" t="s">
        <v>35</v>
      </c>
      <c r="N62" s="16" t="s">
        <v>35</v>
      </c>
      <c r="O62" s="16" t="s">
        <v>35</v>
      </c>
      <c r="P62" s="16" t="s">
        <v>35</v>
      </c>
      <c r="Q62" s="17" t="n">
        <f aca="false">(COUNTIF(F62:P62,Paramètres!$A$7)*Paramètres!$B$7+COUNTIF(F62:P62,Paramètres!$A$6)*Paramètres!$B$6+COUNTIF(F62:P62,Paramètres!$A$5)*Paramètres!$B$5)/COLUMNS(F62:P62)</f>
        <v>0.0681818181818182</v>
      </c>
      <c r="R62" s="18" t="str">
        <f aca="false">IF(Q62&gt;=1,"Terminé",IF(COUNTIF(H62:P62,Paramètres!$A$4)=9,"Non démarré","En cours"))</f>
        <v>Non démarré</v>
      </c>
      <c r="S62" s="19"/>
      <c r="T62" s="20"/>
      <c r="U62" s="19"/>
    </row>
    <row r="63" customFormat="false" ht="15" hidden="false" customHeight="false" outlineLevel="0" collapsed="false">
      <c r="A63" s="15" t="s">
        <v>217</v>
      </c>
      <c r="B63" s="15" t="s">
        <v>24</v>
      </c>
      <c r="C63" s="15" t="s">
        <v>218</v>
      </c>
      <c r="D63" s="15" t="s">
        <v>219</v>
      </c>
      <c r="E63" s="15" t="s">
        <v>28</v>
      </c>
      <c r="F63" s="16" t="s">
        <v>37</v>
      </c>
      <c r="G63" s="16" t="s">
        <v>35</v>
      </c>
      <c r="H63" s="16" t="s">
        <v>35</v>
      </c>
      <c r="I63" s="16" t="s">
        <v>35</v>
      </c>
      <c r="J63" s="16" t="s">
        <v>35</v>
      </c>
      <c r="K63" s="16" t="s">
        <v>35</v>
      </c>
      <c r="L63" s="16" t="s">
        <v>35</v>
      </c>
      <c r="M63" s="16" t="s">
        <v>35</v>
      </c>
      <c r="N63" s="16" t="s">
        <v>35</v>
      </c>
      <c r="O63" s="16" t="s">
        <v>35</v>
      </c>
      <c r="P63" s="16" t="s">
        <v>35</v>
      </c>
      <c r="Q63" s="17" t="n">
        <f aca="false">(COUNTIF(F63:P63,Paramètres!$A$7)*Paramètres!$B$7+COUNTIF(F63:P63,Paramètres!$A$6)*Paramètres!$B$6+COUNTIF(F63:P63,Paramètres!$A$5)*Paramètres!$B$5)/COLUMNS(F63:P63)</f>
        <v>0.0681818181818182</v>
      </c>
      <c r="R63" s="18" t="str">
        <f aca="false">IF(Q63&gt;=1,"Terminé",IF(COUNTIF(H63:P63,Paramètres!$A$4)=9,"Non démarré","En cours"))</f>
        <v>Non démarré</v>
      </c>
      <c r="S63" s="19"/>
      <c r="T63" s="20"/>
      <c r="U63" s="19"/>
    </row>
    <row r="64" customFormat="false" ht="15" hidden="false" customHeight="false" outlineLevel="0" collapsed="false">
      <c r="A64" s="15" t="s">
        <v>220</v>
      </c>
      <c r="B64" s="15" t="s">
        <v>24</v>
      </c>
      <c r="C64" s="15" t="s">
        <v>221</v>
      </c>
      <c r="D64" s="15" t="s">
        <v>219</v>
      </c>
      <c r="E64" s="15" t="s">
        <v>28</v>
      </c>
      <c r="F64" s="16" t="s">
        <v>37</v>
      </c>
      <c r="G64" s="16" t="s">
        <v>35</v>
      </c>
      <c r="H64" s="16" t="s">
        <v>35</v>
      </c>
      <c r="I64" s="16" t="s">
        <v>35</v>
      </c>
      <c r="J64" s="16" t="s">
        <v>35</v>
      </c>
      <c r="K64" s="16" t="s">
        <v>35</v>
      </c>
      <c r="L64" s="16" t="s">
        <v>35</v>
      </c>
      <c r="M64" s="16" t="s">
        <v>35</v>
      </c>
      <c r="N64" s="16" t="s">
        <v>35</v>
      </c>
      <c r="O64" s="16" t="s">
        <v>35</v>
      </c>
      <c r="P64" s="16" t="s">
        <v>35</v>
      </c>
      <c r="Q64" s="17" t="n">
        <f aca="false">(COUNTIF(F64:P64,Paramètres!$A$7)*Paramètres!$B$7+COUNTIF(F64:P64,Paramètres!$A$6)*Paramètres!$B$6+COUNTIF(F64:P64,Paramètres!$A$5)*Paramètres!$B$5)/COLUMNS(F64:P64)</f>
        <v>0.0681818181818182</v>
      </c>
      <c r="R64" s="18" t="str">
        <f aca="false">IF(Q64&gt;=1,"Terminé",IF(COUNTIF(H64:P64,Paramètres!$A$4)=9,"Non démarré","En cours"))</f>
        <v>Non démarré</v>
      </c>
      <c r="S64" s="19"/>
      <c r="T64" s="20"/>
      <c r="U64" s="19"/>
    </row>
    <row r="65" customFormat="false" ht="15" hidden="false" customHeight="false" outlineLevel="0" collapsed="false">
      <c r="A65" s="15" t="s">
        <v>222</v>
      </c>
      <c r="B65" s="15" t="s">
        <v>24</v>
      </c>
      <c r="C65" s="15" t="s">
        <v>223</v>
      </c>
      <c r="D65" s="15" t="s">
        <v>219</v>
      </c>
      <c r="E65" s="15" t="s">
        <v>28</v>
      </c>
      <c r="F65" s="16" t="s">
        <v>37</v>
      </c>
      <c r="G65" s="16" t="s">
        <v>35</v>
      </c>
      <c r="H65" s="16" t="s">
        <v>35</v>
      </c>
      <c r="I65" s="16" t="s">
        <v>35</v>
      </c>
      <c r="J65" s="16" t="s">
        <v>35</v>
      </c>
      <c r="K65" s="16" t="s">
        <v>35</v>
      </c>
      <c r="L65" s="16" t="s">
        <v>35</v>
      </c>
      <c r="M65" s="16" t="s">
        <v>35</v>
      </c>
      <c r="N65" s="16" t="s">
        <v>35</v>
      </c>
      <c r="O65" s="16" t="s">
        <v>35</v>
      </c>
      <c r="P65" s="16" t="s">
        <v>35</v>
      </c>
      <c r="Q65" s="17" t="n">
        <f aca="false">(COUNTIF(F65:P65,Paramètres!$A$7)*Paramètres!$B$7+COUNTIF(F65:P65,Paramètres!$A$6)*Paramètres!$B$6+COUNTIF(F65:P65,Paramètres!$A$5)*Paramètres!$B$5)/COLUMNS(F65:P65)</f>
        <v>0.0681818181818182</v>
      </c>
      <c r="R65" s="18" t="str">
        <f aca="false">IF(Q65&gt;=1,"Terminé",IF(COUNTIF(H65:P65,Paramètres!$A$4)=9,"Non démarré","En cours"))</f>
        <v>Non démarré</v>
      </c>
      <c r="S65" s="19"/>
      <c r="T65" s="20"/>
      <c r="U65" s="19"/>
    </row>
    <row r="66" customFormat="false" ht="15" hidden="false" customHeight="false" outlineLevel="0" collapsed="false">
      <c r="A66" s="15" t="s">
        <v>224</v>
      </c>
      <c r="B66" s="15" t="s">
        <v>24</v>
      </c>
      <c r="C66" s="15" t="s">
        <v>225</v>
      </c>
      <c r="D66" s="15" t="s">
        <v>219</v>
      </c>
      <c r="E66" s="15" t="s">
        <v>32</v>
      </c>
      <c r="F66" s="16" t="s">
        <v>37</v>
      </c>
      <c r="G66" s="16" t="s">
        <v>35</v>
      </c>
      <c r="H66" s="16" t="s">
        <v>35</v>
      </c>
      <c r="I66" s="16" t="s">
        <v>35</v>
      </c>
      <c r="J66" s="16" t="s">
        <v>35</v>
      </c>
      <c r="K66" s="16" t="s">
        <v>35</v>
      </c>
      <c r="L66" s="16" t="s">
        <v>35</v>
      </c>
      <c r="M66" s="16" t="s">
        <v>35</v>
      </c>
      <c r="N66" s="16" t="s">
        <v>35</v>
      </c>
      <c r="O66" s="16" t="s">
        <v>35</v>
      </c>
      <c r="P66" s="16" t="s">
        <v>35</v>
      </c>
      <c r="Q66" s="17" t="n">
        <f aca="false">(COUNTIF(F66:P66,Paramètres!$A$7)*Paramètres!$B$7+COUNTIF(F66:P66,Paramètres!$A$6)*Paramètres!$B$6+COUNTIF(F66:P66,Paramètres!$A$5)*Paramètres!$B$5)/COLUMNS(F66:P66)</f>
        <v>0.0681818181818182</v>
      </c>
      <c r="R66" s="18" t="str">
        <f aca="false">IF(Q66&gt;=1,"Terminé",IF(COUNTIF(H66:P66,Paramètres!$A$4)=9,"Non démarré","En cours"))</f>
        <v>Non démarré</v>
      </c>
      <c r="S66" s="19"/>
      <c r="T66" s="20"/>
      <c r="U66" s="19"/>
    </row>
    <row r="67" customFormat="false" ht="15" hidden="false" customHeight="false" outlineLevel="0" collapsed="false">
      <c r="A67" s="15" t="s">
        <v>226</v>
      </c>
      <c r="B67" s="15" t="s">
        <v>24</v>
      </c>
      <c r="C67" s="15" t="s">
        <v>227</v>
      </c>
      <c r="D67" s="15" t="s">
        <v>219</v>
      </c>
      <c r="E67" s="15" t="s">
        <v>32</v>
      </c>
      <c r="F67" s="16" t="s">
        <v>37</v>
      </c>
      <c r="G67" s="16" t="s">
        <v>35</v>
      </c>
      <c r="H67" s="16" t="s">
        <v>35</v>
      </c>
      <c r="I67" s="16" t="s">
        <v>35</v>
      </c>
      <c r="J67" s="16" t="s">
        <v>35</v>
      </c>
      <c r="K67" s="16" t="s">
        <v>35</v>
      </c>
      <c r="L67" s="16" t="s">
        <v>35</v>
      </c>
      <c r="M67" s="16" t="s">
        <v>35</v>
      </c>
      <c r="N67" s="16" t="s">
        <v>35</v>
      </c>
      <c r="O67" s="16" t="s">
        <v>35</v>
      </c>
      <c r="P67" s="16" t="s">
        <v>35</v>
      </c>
      <c r="Q67" s="17" t="n">
        <f aca="false">(COUNTIF(F67:P67,Paramètres!$A$7)*Paramètres!$B$7+COUNTIF(F67:P67,Paramètres!$A$6)*Paramètres!$B$6+COUNTIF(F67:P67,Paramètres!$A$5)*Paramètres!$B$5)/COLUMNS(F67:P67)</f>
        <v>0.0681818181818182</v>
      </c>
      <c r="R67" s="18" t="str">
        <f aca="false">IF(Q67&gt;=1,"Terminé",IF(COUNTIF(H67:P67,Paramètres!$A$4)=9,"Non démarré","En cours"))</f>
        <v>Non démarré</v>
      </c>
      <c r="S67" s="19"/>
      <c r="T67" s="20"/>
      <c r="U67" s="19"/>
    </row>
    <row r="68" customFormat="false" ht="15" hidden="false" customHeight="false" outlineLevel="0" collapsed="false">
      <c r="A68" s="15" t="s">
        <v>228</v>
      </c>
      <c r="B68" s="15" t="s">
        <v>24</v>
      </c>
      <c r="C68" s="15" t="s">
        <v>229</v>
      </c>
      <c r="D68" s="15" t="s">
        <v>219</v>
      </c>
      <c r="E68" s="15" t="s">
        <v>32</v>
      </c>
      <c r="F68" s="16" t="s">
        <v>37</v>
      </c>
      <c r="G68" s="16" t="s">
        <v>35</v>
      </c>
      <c r="H68" s="16" t="s">
        <v>35</v>
      </c>
      <c r="I68" s="16" t="s">
        <v>35</v>
      </c>
      <c r="J68" s="16" t="s">
        <v>35</v>
      </c>
      <c r="K68" s="16" t="s">
        <v>35</v>
      </c>
      <c r="L68" s="16" t="s">
        <v>35</v>
      </c>
      <c r="M68" s="16" t="s">
        <v>35</v>
      </c>
      <c r="N68" s="16" t="s">
        <v>35</v>
      </c>
      <c r="O68" s="16" t="s">
        <v>35</v>
      </c>
      <c r="P68" s="16" t="s">
        <v>35</v>
      </c>
      <c r="Q68" s="17" t="n">
        <f aca="false">(COUNTIF(F68:P68,Paramètres!$A$7)*Paramètres!$B$7+COUNTIF(F68:P68,Paramètres!$A$6)*Paramètres!$B$6+COUNTIF(F68:P68,Paramètres!$A$5)*Paramètres!$B$5)/COLUMNS(F68:P68)</f>
        <v>0.0681818181818182</v>
      </c>
      <c r="R68" s="18" t="str">
        <f aca="false">IF(Q68&gt;=1,"Terminé",IF(COUNTIF(H68:P68,Paramètres!$A$4)=9,"Non démarré","En cours"))</f>
        <v>Non démarré</v>
      </c>
      <c r="S68" s="19"/>
      <c r="T68" s="20"/>
      <c r="U68" s="19"/>
    </row>
    <row r="69" customFormat="false" ht="23.85" hidden="false" customHeight="false" outlineLevel="0" collapsed="false">
      <c r="A69" s="15" t="s">
        <v>230</v>
      </c>
      <c r="B69" s="15" t="s">
        <v>24</v>
      </c>
      <c r="C69" s="15" t="s">
        <v>231</v>
      </c>
      <c r="D69" s="15" t="s">
        <v>219</v>
      </c>
      <c r="E69" s="15" t="s">
        <v>32</v>
      </c>
      <c r="F69" s="16" t="s">
        <v>37</v>
      </c>
      <c r="G69" s="16" t="s">
        <v>35</v>
      </c>
      <c r="H69" s="16" t="s">
        <v>35</v>
      </c>
      <c r="I69" s="16" t="s">
        <v>35</v>
      </c>
      <c r="J69" s="16" t="s">
        <v>35</v>
      </c>
      <c r="K69" s="16" t="s">
        <v>35</v>
      </c>
      <c r="L69" s="16" t="s">
        <v>35</v>
      </c>
      <c r="M69" s="16" t="s">
        <v>35</v>
      </c>
      <c r="N69" s="16" t="s">
        <v>35</v>
      </c>
      <c r="O69" s="16" t="s">
        <v>35</v>
      </c>
      <c r="P69" s="16" t="s">
        <v>35</v>
      </c>
      <c r="Q69" s="17" t="n">
        <f aca="false">(COUNTIF(F69:P69,Paramètres!$A$7)*Paramètres!$B$7+COUNTIF(F69:P69,Paramètres!$A$6)*Paramètres!$B$6+COUNTIF(F69:P69,Paramètres!$A$5)*Paramètres!$B$5)/COLUMNS(F69:P69)</f>
        <v>0.0681818181818182</v>
      </c>
      <c r="R69" s="18" t="str">
        <f aca="false">IF(Q69&gt;=1,"Terminé",IF(COUNTIF(H69:P69,Paramètres!$A$4)=9,"Non démarré","En cours"))</f>
        <v>Non démarré</v>
      </c>
      <c r="S69" s="19"/>
      <c r="T69" s="20"/>
      <c r="U69" s="19"/>
    </row>
  </sheetData>
  <autoFilter ref="A1:U69"/>
  <conditionalFormatting sqref="F2:P69">
    <cfRule type="cellIs" priority="2" operator="equal" aboveAverage="0" equalAverage="0" bottom="0" percent="0" rank="0" text="" dxfId="8">
      <formula>"À faire"</formula>
    </cfRule>
    <cfRule type="cellIs" priority="3" operator="equal" aboveAverage="0" equalAverage="0" bottom="0" percent="0" rank="0" text="" dxfId="9">
      <formula>"En cours"</formula>
    </cfRule>
    <cfRule type="cellIs" priority="4" operator="equal" aboveAverage="0" equalAverage="0" bottom="0" percent="0" rank="0" text="" dxfId="10">
      <formula>"À valider"</formula>
    </cfRule>
    <cfRule type="cellIs" priority="5" operator="equal" aboveAverage="0" equalAverage="0" bottom="0" percent="0" rank="0" text="" dxfId="11">
      <formula>"Validé"</formula>
    </cfRule>
  </conditionalFormatting>
  <conditionalFormatting sqref="R2:R69">
    <cfRule type="cellIs" priority="6" operator="equal" aboveAverage="0" equalAverage="0" bottom="0" percent="0" rank="0" text="" dxfId="11">
      <formula>"Terminé"</formula>
    </cfRule>
    <cfRule type="cellIs" priority="7" operator="equal" aboveAverage="0" equalAverage="0" bottom="0" percent="0" rank="0" text="" dxfId="9">
      <formula>"En cours"</formula>
    </cfRule>
  </conditionalFormatting>
  <dataValidations count="1">
    <dataValidation allowBlank="false" error="Choisissez : À faire, En cours, À valider ou Validé." errorStyle="stop" errorTitle="Statut" operator="between" showDropDown="false" showErrorMessage="true" showInputMessage="false" sqref="F2:P69" type="list">
      <formula1>"À faire,En cours,À valider,Validé"</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20"/>
    <col collapsed="false" customWidth="true" hidden="false" outlineLevel="0" max="4" min="4" style="0" width="12"/>
    <col collapsed="false" customWidth="true" hidden="false" outlineLevel="0" max="5" min="5" style="0" width="18"/>
    <col collapsed="false" customWidth="true" hidden="false" outlineLevel="0" max="6" min="6" style="0" width="13"/>
    <col collapsed="false" customWidth="true" hidden="false" outlineLevel="0" max="7" min="7" style="0" width="40"/>
  </cols>
  <sheetData>
    <row r="1" customFormat="false" ht="15" hidden="false" customHeight="false" outlineLevel="0" collapsed="false">
      <c r="A1" s="8" t="s">
        <v>232</v>
      </c>
      <c r="B1" s="8" t="s">
        <v>233</v>
      </c>
      <c r="C1" s="8" t="s">
        <v>234</v>
      </c>
      <c r="D1" s="8" t="s">
        <v>235</v>
      </c>
      <c r="E1" s="8" t="s">
        <v>80</v>
      </c>
      <c r="F1" s="8" t="s">
        <v>236</v>
      </c>
      <c r="G1" s="8" t="s">
        <v>82</v>
      </c>
    </row>
    <row r="2" customFormat="false" ht="15" hidden="false" customHeight="false" outlineLevel="0" collapsed="false">
      <c r="A2" s="15" t="s">
        <v>237</v>
      </c>
      <c r="B2" s="15" t="s">
        <v>238</v>
      </c>
      <c r="C2" s="15" t="s">
        <v>239</v>
      </c>
      <c r="D2" s="19" t="s">
        <v>35</v>
      </c>
      <c r="E2" s="19"/>
      <c r="F2" s="20"/>
      <c r="G2" s="19"/>
    </row>
    <row r="3" customFormat="false" ht="15" hidden="false" customHeight="false" outlineLevel="0" collapsed="false">
      <c r="A3" s="15" t="s">
        <v>240</v>
      </c>
      <c r="B3" s="15" t="s">
        <v>238</v>
      </c>
      <c r="C3" s="15" t="s">
        <v>239</v>
      </c>
      <c r="D3" s="19" t="s">
        <v>35</v>
      </c>
      <c r="E3" s="19"/>
      <c r="F3" s="20"/>
      <c r="G3" s="19"/>
    </row>
    <row r="4" customFormat="false" ht="15" hidden="false" customHeight="false" outlineLevel="0" collapsed="false">
      <c r="A4" s="15" t="s">
        <v>241</v>
      </c>
      <c r="B4" s="15" t="s">
        <v>242</v>
      </c>
      <c r="C4" s="15" t="s">
        <v>239</v>
      </c>
      <c r="D4" s="19" t="s">
        <v>35</v>
      </c>
      <c r="E4" s="19"/>
      <c r="F4" s="20"/>
      <c r="G4" s="19"/>
    </row>
    <row r="5" customFormat="false" ht="15" hidden="false" customHeight="false" outlineLevel="0" collapsed="false">
      <c r="A5" s="15" t="s">
        <v>243</v>
      </c>
      <c r="B5" s="15" t="s">
        <v>242</v>
      </c>
      <c r="C5" s="15" t="s">
        <v>239</v>
      </c>
      <c r="D5" s="19" t="s">
        <v>35</v>
      </c>
      <c r="E5" s="19"/>
      <c r="F5" s="20"/>
      <c r="G5" s="19"/>
    </row>
    <row r="6" customFormat="false" ht="15" hidden="false" customHeight="false" outlineLevel="0" collapsed="false">
      <c r="A6" s="15" t="s">
        <v>244</v>
      </c>
      <c r="B6" s="15" t="s">
        <v>242</v>
      </c>
      <c r="C6" s="15" t="s">
        <v>239</v>
      </c>
      <c r="D6" s="19" t="s">
        <v>35</v>
      </c>
      <c r="E6" s="19"/>
      <c r="F6" s="20"/>
      <c r="G6" s="19"/>
    </row>
    <row r="7" customFormat="false" ht="15" hidden="false" customHeight="false" outlineLevel="0" collapsed="false">
      <c r="A7" s="15" t="s">
        <v>245</v>
      </c>
      <c r="B7" s="15" t="s">
        <v>242</v>
      </c>
      <c r="C7" s="15" t="s">
        <v>239</v>
      </c>
      <c r="D7" s="19" t="s">
        <v>35</v>
      </c>
      <c r="E7" s="19"/>
      <c r="F7" s="20"/>
      <c r="G7" s="19"/>
    </row>
    <row r="8" customFormat="false" ht="15" hidden="false" customHeight="false" outlineLevel="0" collapsed="false">
      <c r="A8" s="15" t="s">
        <v>246</v>
      </c>
      <c r="B8" s="15" t="s">
        <v>242</v>
      </c>
      <c r="C8" s="15" t="s">
        <v>239</v>
      </c>
      <c r="D8" s="19" t="s">
        <v>35</v>
      </c>
      <c r="E8" s="19"/>
      <c r="F8" s="20"/>
      <c r="G8" s="19"/>
    </row>
    <row r="9" customFormat="false" ht="15" hidden="false" customHeight="false" outlineLevel="0" collapsed="false">
      <c r="A9" s="15" t="s">
        <v>247</v>
      </c>
      <c r="B9" s="15" t="s">
        <v>242</v>
      </c>
      <c r="C9" s="15" t="s">
        <v>239</v>
      </c>
      <c r="D9" s="19" t="s">
        <v>35</v>
      </c>
      <c r="E9" s="19"/>
      <c r="F9" s="20"/>
      <c r="G9" s="19"/>
    </row>
    <row r="10" customFormat="false" ht="15" hidden="false" customHeight="false" outlineLevel="0" collapsed="false">
      <c r="A10" s="15" t="s">
        <v>248</v>
      </c>
      <c r="B10" s="15" t="s">
        <v>242</v>
      </c>
      <c r="C10" s="15" t="s">
        <v>239</v>
      </c>
      <c r="D10" s="19" t="s">
        <v>35</v>
      </c>
      <c r="E10" s="19"/>
      <c r="F10" s="20"/>
      <c r="G10" s="19"/>
    </row>
    <row r="11" customFormat="false" ht="15" hidden="false" customHeight="false" outlineLevel="0" collapsed="false">
      <c r="A11" s="15" t="s">
        <v>249</v>
      </c>
      <c r="B11" s="15" t="s">
        <v>242</v>
      </c>
      <c r="C11" s="15" t="s">
        <v>239</v>
      </c>
      <c r="D11" s="19" t="s">
        <v>35</v>
      </c>
      <c r="E11" s="19"/>
      <c r="F11" s="20"/>
      <c r="G11" s="19"/>
    </row>
    <row r="12" customFormat="false" ht="15" hidden="false" customHeight="false" outlineLevel="0" collapsed="false">
      <c r="A12" s="15" t="s">
        <v>250</v>
      </c>
      <c r="B12" s="15" t="s">
        <v>251</v>
      </c>
      <c r="C12" s="15" t="s">
        <v>239</v>
      </c>
      <c r="D12" s="19" t="s">
        <v>35</v>
      </c>
      <c r="E12" s="19"/>
      <c r="F12" s="20"/>
      <c r="G12" s="19"/>
    </row>
    <row r="13" customFormat="false" ht="15" hidden="false" customHeight="false" outlineLevel="0" collapsed="false">
      <c r="A13" s="15" t="s">
        <v>252</v>
      </c>
      <c r="B13" s="15" t="s">
        <v>251</v>
      </c>
      <c r="C13" s="15" t="s">
        <v>239</v>
      </c>
      <c r="D13" s="19" t="s">
        <v>35</v>
      </c>
      <c r="E13" s="19"/>
      <c r="F13" s="20"/>
      <c r="G13" s="19"/>
    </row>
    <row r="14" customFormat="false" ht="15" hidden="false" customHeight="false" outlineLevel="0" collapsed="false">
      <c r="A14" s="15" t="s">
        <v>253</v>
      </c>
      <c r="B14" s="15" t="s">
        <v>251</v>
      </c>
      <c r="C14" s="15" t="s">
        <v>239</v>
      </c>
      <c r="D14" s="19" t="s">
        <v>35</v>
      </c>
      <c r="E14" s="19"/>
      <c r="F14" s="20"/>
      <c r="G14" s="19"/>
    </row>
    <row r="15" customFormat="false" ht="15" hidden="false" customHeight="false" outlineLevel="0" collapsed="false">
      <c r="A15" s="15" t="s">
        <v>254</v>
      </c>
      <c r="B15" s="15" t="s">
        <v>255</v>
      </c>
      <c r="C15" s="15" t="s">
        <v>256</v>
      </c>
      <c r="D15" s="19" t="s">
        <v>35</v>
      </c>
      <c r="E15" s="19"/>
      <c r="F15" s="20"/>
      <c r="G15" s="19" t="s">
        <v>257</v>
      </c>
    </row>
    <row r="16" customFormat="false" ht="15" hidden="false" customHeight="false" outlineLevel="0" collapsed="false">
      <c r="A16" s="15" t="s">
        <v>258</v>
      </c>
      <c r="B16" s="15" t="s">
        <v>259</v>
      </c>
      <c r="C16" s="15" t="s">
        <v>256</v>
      </c>
      <c r="D16" s="19" t="s">
        <v>35</v>
      </c>
      <c r="E16" s="19"/>
      <c r="F16" s="20"/>
      <c r="G16" s="19"/>
    </row>
    <row r="17" customFormat="false" ht="15" hidden="false" customHeight="false" outlineLevel="0" collapsed="false">
      <c r="A17" s="15" t="s">
        <v>260</v>
      </c>
      <c r="B17" s="15" t="s">
        <v>261</v>
      </c>
      <c r="C17" s="15" t="s">
        <v>256</v>
      </c>
      <c r="D17" s="19" t="s">
        <v>35</v>
      </c>
      <c r="E17" s="19"/>
      <c r="F17" s="20"/>
      <c r="G17" s="19"/>
    </row>
    <row r="18" customFormat="false" ht="15" hidden="false" customHeight="false" outlineLevel="0" collapsed="false">
      <c r="A18" s="15" t="s">
        <v>262</v>
      </c>
      <c r="B18" s="15" t="s">
        <v>261</v>
      </c>
      <c r="C18" s="15" t="s">
        <v>256</v>
      </c>
      <c r="D18" s="19" t="s">
        <v>35</v>
      </c>
      <c r="E18" s="19"/>
      <c r="F18" s="20"/>
      <c r="G18" s="19"/>
    </row>
    <row r="19" customFormat="false" ht="15" hidden="false" customHeight="false" outlineLevel="0" collapsed="false">
      <c r="A19" s="15" t="s">
        <v>263</v>
      </c>
      <c r="B19" s="15" t="s">
        <v>261</v>
      </c>
      <c r="C19" s="15" t="s">
        <v>256</v>
      </c>
      <c r="D19" s="19" t="s">
        <v>35</v>
      </c>
      <c r="E19" s="19"/>
      <c r="F19" s="20"/>
      <c r="G19" s="19"/>
    </row>
    <row r="20" customFormat="false" ht="15" hidden="false" customHeight="false" outlineLevel="0" collapsed="false">
      <c r="A20" s="15" t="s">
        <v>264</v>
      </c>
      <c r="B20" s="15" t="s">
        <v>261</v>
      </c>
      <c r="C20" s="15" t="s">
        <v>256</v>
      </c>
      <c r="D20" s="19" t="s">
        <v>35</v>
      </c>
      <c r="E20" s="19"/>
      <c r="F20" s="20"/>
      <c r="G20" s="19"/>
    </row>
    <row r="21" customFormat="false" ht="15" hidden="false" customHeight="false" outlineLevel="0" collapsed="false">
      <c r="A21" s="15" t="s">
        <v>265</v>
      </c>
      <c r="B21" s="15" t="s">
        <v>266</v>
      </c>
      <c r="C21" s="15" t="s">
        <v>256</v>
      </c>
      <c r="D21" s="19" t="s">
        <v>35</v>
      </c>
      <c r="E21" s="19"/>
      <c r="F21" s="20"/>
      <c r="G21" s="19"/>
    </row>
    <row r="22" customFormat="false" ht="15" hidden="false" customHeight="false" outlineLevel="0" collapsed="false">
      <c r="A22" s="15" t="s">
        <v>267</v>
      </c>
      <c r="B22" s="15" t="s">
        <v>268</v>
      </c>
      <c r="C22" s="15" t="s">
        <v>239</v>
      </c>
      <c r="D22" s="19" t="s">
        <v>35</v>
      </c>
      <c r="E22" s="19"/>
      <c r="F22" s="20"/>
      <c r="G22" s="19"/>
    </row>
    <row r="23" customFormat="false" ht="15" hidden="false" customHeight="false" outlineLevel="0" collapsed="false">
      <c r="A23" s="15" t="s">
        <v>269</v>
      </c>
      <c r="B23" s="15" t="s">
        <v>268</v>
      </c>
      <c r="C23" s="15" t="s">
        <v>239</v>
      </c>
      <c r="D23" s="19" t="s">
        <v>35</v>
      </c>
      <c r="E23" s="19"/>
      <c r="F23" s="20"/>
      <c r="G23" s="19"/>
    </row>
    <row r="24" customFormat="false" ht="15" hidden="false" customHeight="false" outlineLevel="0" collapsed="false">
      <c r="A24" s="15" t="s">
        <v>270</v>
      </c>
      <c r="B24" s="15" t="s">
        <v>268</v>
      </c>
      <c r="C24" s="15" t="s">
        <v>239</v>
      </c>
      <c r="D24" s="19" t="s">
        <v>35</v>
      </c>
      <c r="E24" s="19"/>
      <c r="F24" s="20"/>
      <c r="G24" s="19"/>
    </row>
    <row r="25" customFormat="false" ht="15" hidden="false" customHeight="false" outlineLevel="0" collapsed="false">
      <c r="A25" s="15" t="s">
        <v>271</v>
      </c>
      <c r="B25" s="15" t="s">
        <v>272</v>
      </c>
      <c r="C25" s="15" t="s">
        <v>273</v>
      </c>
      <c r="D25" s="19" t="s">
        <v>35</v>
      </c>
      <c r="E25" s="19"/>
      <c r="F25" s="20"/>
      <c r="G25" s="19"/>
    </row>
    <row r="26" customFormat="false" ht="15" hidden="false" customHeight="false" outlineLevel="0" collapsed="false">
      <c r="A26" s="15" t="s">
        <v>274</v>
      </c>
      <c r="B26" s="15" t="s">
        <v>275</v>
      </c>
      <c r="C26" s="15" t="s">
        <v>273</v>
      </c>
      <c r="D26" s="19" t="s">
        <v>35</v>
      </c>
      <c r="E26" s="19"/>
      <c r="F26" s="20"/>
      <c r="G26" s="19"/>
    </row>
  </sheetData>
  <conditionalFormatting sqref="D2:D26">
    <cfRule type="cellIs" priority="2" operator="equal" aboveAverage="0" equalAverage="0" bottom="0" percent="0" rank="0" text="" dxfId="8">
      <formula>"À faire"</formula>
    </cfRule>
    <cfRule type="cellIs" priority="3" operator="equal" aboveAverage="0" equalAverage="0" bottom="0" percent="0" rank="0" text="" dxfId="9">
      <formula>"En cours"</formula>
    </cfRule>
    <cfRule type="cellIs" priority="4" operator="equal" aboveAverage="0" equalAverage="0" bottom="0" percent="0" rank="0" text="" dxfId="10">
      <formula>"À valider"</formula>
    </cfRule>
    <cfRule type="cellIs" priority="5" operator="equal" aboveAverage="0" equalAverage="0" bottom="0" percent="0" rank="0" text="" dxfId="11">
      <formula>"Validé"</formula>
    </cfRule>
  </conditionalFormatting>
  <dataValidations count="1">
    <dataValidation allowBlank="false" errorStyle="stop" operator="between" showDropDown="false" showErrorMessage="false" showInputMessage="false" sqref="D2:D26" type="list">
      <formula1>"À faire,En cours,À valider,Validé"</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26"/>
    <col collapsed="false" customWidth="true" hidden="false" outlineLevel="0" max="4" min="4" style="0" width="52"/>
    <col collapsed="false" customWidth="true" hidden="false" outlineLevel="0" max="5" min="5" style="0" width="12"/>
    <col collapsed="false" customWidth="true" hidden="false" outlineLevel="0" max="7" min="6" style="0" width="13"/>
    <col collapsed="false" customWidth="true" hidden="false" outlineLevel="0" max="8" min="8" style="0" width="42"/>
  </cols>
  <sheetData>
    <row r="1" customFormat="false" ht="23.85" hidden="false" customHeight="false" outlineLevel="0" collapsed="false">
      <c r="A1" s="8" t="s">
        <v>276</v>
      </c>
      <c r="B1" s="8" t="s">
        <v>233</v>
      </c>
      <c r="C1" s="8" t="s">
        <v>277</v>
      </c>
      <c r="D1" s="8" t="s">
        <v>278</v>
      </c>
      <c r="E1" s="8" t="s">
        <v>235</v>
      </c>
      <c r="F1" s="8" t="s">
        <v>279</v>
      </c>
      <c r="G1" s="8" t="s">
        <v>280</v>
      </c>
      <c r="H1" s="8" t="s">
        <v>82</v>
      </c>
    </row>
    <row r="2" customFormat="false" ht="23.85" hidden="false" customHeight="false" outlineLevel="0" collapsed="false">
      <c r="A2" s="15" t="n">
        <v>0</v>
      </c>
      <c r="B2" s="15" t="s">
        <v>281</v>
      </c>
      <c r="C2" s="15" t="s">
        <v>282</v>
      </c>
      <c r="D2" s="15" t="s">
        <v>283</v>
      </c>
      <c r="E2" s="19" t="s">
        <v>36</v>
      </c>
      <c r="F2" s="20"/>
      <c r="G2" s="20"/>
      <c r="H2" s="19" t="s">
        <v>284</v>
      </c>
    </row>
    <row r="3" customFormat="false" ht="15" hidden="false" customHeight="false" outlineLevel="0" collapsed="false">
      <c r="A3" s="15" t="n">
        <v>1</v>
      </c>
      <c r="B3" s="15" t="s">
        <v>285</v>
      </c>
      <c r="C3" s="15" t="s">
        <v>286</v>
      </c>
      <c r="D3" s="15" t="s">
        <v>287</v>
      </c>
      <c r="E3" s="19" t="s">
        <v>35</v>
      </c>
      <c r="F3" s="20"/>
      <c r="G3" s="20"/>
      <c r="H3" s="19"/>
    </row>
    <row r="4" customFormat="false" ht="15" hidden="false" customHeight="false" outlineLevel="0" collapsed="false">
      <c r="A4" s="15" t="n">
        <v>2</v>
      </c>
      <c r="B4" s="15" t="s">
        <v>288</v>
      </c>
      <c r="C4" s="15" t="s">
        <v>289</v>
      </c>
      <c r="D4" s="15" t="s">
        <v>290</v>
      </c>
      <c r="E4" s="19" t="s">
        <v>35</v>
      </c>
      <c r="F4" s="20"/>
      <c r="G4" s="20"/>
      <c r="H4" s="19"/>
    </row>
    <row r="5" customFormat="false" ht="15" hidden="false" customHeight="false" outlineLevel="0" collapsed="false">
      <c r="A5" s="15" t="n">
        <v>3</v>
      </c>
      <c r="B5" s="15" t="s">
        <v>291</v>
      </c>
      <c r="C5" s="15" t="s">
        <v>292</v>
      </c>
      <c r="D5" s="15" t="s">
        <v>293</v>
      </c>
      <c r="E5" s="19" t="s">
        <v>35</v>
      </c>
      <c r="F5" s="20"/>
      <c r="G5" s="20"/>
      <c r="H5" s="19"/>
    </row>
    <row r="6" customFormat="false" ht="15" hidden="false" customHeight="false" outlineLevel="0" collapsed="false">
      <c r="A6" s="15" t="n">
        <v>4</v>
      </c>
      <c r="B6" s="15" t="s">
        <v>294</v>
      </c>
      <c r="C6" s="15" t="s">
        <v>292</v>
      </c>
      <c r="D6" s="15" t="s">
        <v>295</v>
      </c>
      <c r="E6" s="19" t="s">
        <v>35</v>
      </c>
      <c r="F6" s="20"/>
      <c r="G6" s="20"/>
      <c r="H6" s="19"/>
    </row>
    <row r="7" customFormat="false" ht="15" hidden="false" customHeight="false" outlineLevel="0" collapsed="false">
      <c r="A7" s="15" t="n">
        <v>5</v>
      </c>
      <c r="B7" s="15" t="s">
        <v>28</v>
      </c>
      <c r="C7" s="15" t="s">
        <v>296</v>
      </c>
      <c r="D7" s="15" t="s">
        <v>297</v>
      </c>
      <c r="E7" s="19" t="s">
        <v>35</v>
      </c>
      <c r="F7" s="20"/>
      <c r="G7" s="20"/>
      <c r="H7" s="19"/>
    </row>
    <row r="8" customFormat="false" ht="15" hidden="false" customHeight="false" outlineLevel="0" collapsed="false">
      <c r="A8" s="15" t="n">
        <v>6</v>
      </c>
      <c r="B8" s="15" t="s">
        <v>298</v>
      </c>
      <c r="C8" s="15" t="s">
        <v>299</v>
      </c>
      <c r="D8" s="15" t="s">
        <v>300</v>
      </c>
      <c r="E8" s="19" t="s">
        <v>35</v>
      </c>
      <c r="F8" s="20"/>
      <c r="G8" s="20"/>
      <c r="H8" s="19"/>
    </row>
    <row r="9" customFormat="false" ht="15" hidden="false" customHeight="false" outlineLevel="0" collapsed="false">
      <c r="A9" s="15" t="n">
        <v>7</v>
      </c>
      <c r="B9" s="15" t="s">
        <v>301</v>
      </c>
      <c r="C9" s="15" t="s">
        <v>302</v>
      </c>
      <c r="D9" s="15" t="s">
        <v>303</v>
      </c>
      <c r="E9" s="19" t="s">
        <v>35</v>
      </c>
      <c r="F9" s="20"/>
      <c r="G9" s="20"/>
      <c r="H9" s="19"/>
    </row>
    <row r="10" customFormat="false" ht="15" hidden="false" customHeight="false" outlineLevel="0" collapsed="false">
      <c r="A10" s="15" t="n">
        <v>8</v>
      </c>
      <c r="B10" s="15" t="s">
        <v>304</v>
      </c>
      <c r="C10" s="15" t="s">
        <v>305</v>
      </c>
      <c r="D10" s="15" t="s">
        <v>306</v>
      </c>
      <c r="E10" s="19" t="s">
        <v>35</v>
      </c>
      <c r="F10" s="20"/>
      <c r="G10" s="20"/>
      <c r="H10" s="19"/>
    </row>
    <row r="11" customFormat="false" ht="15" hidden="false" customHeight="false" outlineLevel="0" collapsed="false">
      <c r="A11" s="15" t="n">
        <v>9</v>
      </c>
      <c r="B11" s="15" t="s">
        <v>307</v>
      </c>
      <c r="C11" s="15" t="s">
        <v>308</v>
      </c>
      <c r="D11" s="15" t="s">
        <v>309</v>
      </c>
      <c r="E11" s="19" t="s">
        <v>35</v>
      </c>
      <c r="F11" s="20"/>
      <c r="G11" s="20"/>
      <c r="H11" s="19"/>
    </row>
    <row r="12" customFormat="false" ht="15" hidden="false" customHeight="false" outlineLevel="0" collapsed="false">
      <c r="A12" s="15" t="n">
        <v>10</v>
      </c>
      <c r="B12" s="15" t="s">
        <v>310</v>
      </c>
      <c r="C12" s="15" t="s">
        <v>311</v>
      </c>
      <c r="D12" s="15" t="s">
        <v>312</v>
      </c>
      <c r="E12" s="19" t="s">
        <v>35</v>
      </c>
      <c r="F12" s="20"/>
      <c r="G12" s="20"/>
      <c r="H12" s="19"/>
    </row>
    <row r="13" customFormat="false" ht="15" hidden="false" customHeight="false" outlineLevel="0" collapsed="false">
      <c r="A13" s="15" t="n">
        <v>11</v>
      </c>
      <c r="B13" s="15" t="s">
        <v>313</v>
      </c>
      <c r="C13" s="15" t="s">
        <v>314</v>
      </c>
      <c r="D13" s="15" t="s">
        <v>315</v>
      </c>
      <c r="E13" s="19" t="s">
        <v>35</v>
      </c>
      <c r="F13" s="20"/>
      <c r="G13" s="20"/>
      <c r="H13" s="19"/>
    </row>
  </sheetData>
  <conditionalFormatting sqref="E2:E13">
    <cfRule type="cellIs" priority="2" operator="equal" aboveAverage="0" equalAverage="0" bottom="0" percent="0" rank="0" text="" dxfId="8">
      <formula>"À faire"</formula>
    </cfRule>
    <cfRule type="cellIs" priority="3" operator="equal" aboveAverage="0" equalAverage="0" bottom="0" percent="0" rank="0" text="" dxfId="9">
      <formula>"En cours"</formula>
    </cfRule>
    <cfRule type="cellIs" priority="4" operator="equal" aboveAverage="0" equalAverage="0" bottom="0" percent="0" rank="0" text="" dxfId="10">
      <formula>"À valider"</formula>
    </cfRule>
    <cfRule type="cellIs" priority="5" operator="equal" aboveAverage="0" equalAverage="0" bottom="0" percent="0" rank="0" text="" dxfId="11">
      <formula>"Validé"</formula>
    </cfRule>
  </conditionalFormatting>
  <dataValidations count="1">
    <dataValidation allowBlank="false" errorStyle="stop" operator="between" showDropDown="false" showErrorMessage="false" showInputMessage="false" sqref="E2:E13" type="list">
      <formula1>"À faire,En cours,À valider,Validé"</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80"/>
    <col collapsed="false" customWidth="true" hidden="false" outlineLevel="0" max="4" min="4" style="0" width="26"/>
    <col collapsed="false" customWidth="true" hidden="false" outlineLevel="0" max="5" min="5" style="0" width="13"/>
    <col collapsed="false" customWidth="true" hidden="false" outlineLevel="0" max="6" min="6" style="0" width="12"/>
  </cols>
  <sheetData>
    <row r="1" customFormat="false" ht="15" hidden="false" customHeight="false" outlineLevel="0" collapsed="false">
      <c r="A1" s="8" t="s">
        <v>316</v>
      </c>
      <c r="B1" s="8" t="s">
        <v>234</v>
      </c>
      <c r="C1" s="8" t="s">
        <v>317</v>
      </c>
      <c r="D1" s="8" t="s">
        <v>80</v>
      </c>
      <c r="E1" s="8" t="s">
        <v>236</v>
      </c>
      <c r="F1" s="8" t="s">
        <v>235</v>
      </c>
    </row>
    <row r="2" customFormat="false" ht="15" hidden="false" customHeight="false" outlineLevel="0" collapsed="false">
      <c r="A2" s="21" t="s">
        <v>131</v>
      </c>
      <c r="B2" s="15" t="s">
        <v>318</v>
      </c>
      <c r="C2" s="15" t="s">
        <v>319</v>
      </c>
      <c r="D2" s="15" t="s">
        <v>320</v>
      </c>
      <c r="E2" s="21"/>
      <c r="F2" s="15" t="s">
        <v>36</v>
      </c>
    </row>
    <row r="3" customFormat="false" ht="23.85" hidden="false" customHeight="false" outlineLevel="0" collapsed="false">
      <c r="A3" s="21" t="s">
        <v>131</v>
      </c>
      <c r="B3" s="15" t="s">
        <v>318</v>
      </c>
      <c r="C3" s="15" t="s">
        <v>321</v>
      </c>
      <c r="D3" s="15" t="s">
        <v>320</v>
      </c>
      <c r="E3" s="21"/>
      <c r="F3" s="15" t="s">
        <v>35</v>
      </c>
    </row>
    <row r="4" customFormat="false" ht="15" hidden="false" customHeight="false" outlineLevel="0" collapsed="false">
      <c r="A4" s="21" t="s">
        <v>131</v>
      </c>
      <c r="B4" s="15" t="s">
        <v>322</v>
      </c>
      <c r="C4" s="15" t="s">
        <v>323</v>
      </c>
      <c r="D4" s="15" t="s">
        <v>324</v>
      </c>
      <c r="E4" s="21"/>
      <c r="F4" s="15" t="s">
        <v>325</v>
      </c>
    </row>
    <row r="5" customFormat="false" ht="15" hidden="false" customHeight="false" outlineLevel="0" collapsed="false">
      <c r="A5" s="21" t="s">
        <v>131</v>
      </c>
      <c r="B5" s="15" t="s">
        <v>322</v>
      </c>
      <c r="C5" s="15" t="s">
        <v>326</v>
      </c>
      <c r="D5" s="15" t="s">
        <v>324</v>
      </c>
      <c r="E5" s="21"/>
      <c r="F5" s="15" t="s">
        <v>35</v>
      </c>
    </row>
    <row r="6" customFormat="false" ht="15" hidden="false" customHeight="false" outlineLevel="0" collapsed="false">
      <c r="A6" s="21" t="s">
        <v>131</v>
      </c>
      <c r="B6" s="15" t="s">
        <v>327</v>
      </c>
      <c r="C6" s="15" t="s">
        <v>328</v>
      </c>
      <c r="D6" s="15" t="s">
        <v>329</v>
      </c>
      <c r="E6" s="21"/>
      <c r="F6" s="15" t="s">
        <v>35</v>
      </c>
    </row>
    <row r="7" customFormat="false" ht="15" hidden="false" customHeight="false" outlineLevel="0" collapsed="false">
      <c r="A7" s="21" t="s">
        <v>131</v>
      </c>
      <c r="B7" s="15" t="s">
        <v>327</v>
      </c>
      <c r="C7" s="15" t="s">
        <v>330</v>
      </c>
      <c r="D7" s="15" t="s">
        <v>329</v>
      </c>
      <c r="E7" s="21"/>
      <c r="F7" s="15" t="s">
        <v>35</v>
      </c>
    </row>
    <row r="8" customFormat="false" ht="15" hidden="false" customHeight="false" outlineLevel="0" collapsed="false">
      <c r="A8" s="21" t="s">
        <v>131</v>
      </c>
      <c r="B8" s="15" t="s">
        <v>327</v>
      </c>
      <c r="C8" s="15" t="s">
        <v>331</v>
      </c>
      <c r="D8" s="15" t="s">
        <v>329</v>
      </c>
      <c r="E8" s="21"/>
      <c r="F8" s="15" t="s">
        <v>35</v>
      </c>
    </row>
    <row r="9" customFormat="false" ht="35.05" hidden="false" customHeight="false" outlineLevel="0" collapsed="false">
      <c r="A9" s="21" t="s">
        <v>332</v>
      </c>
      <c r="B9" s="15" t="s">
        <v>318</v>
      </c>
      <c r="C9" s="15" t="s">
        <v>333</v>
      </c>
      <c r="D9" s="15" t="s">
        <v>329</v>
      </c>
      <c r="E9" s="21"/>
      <c r="F9" s="15" t="s">
        <v>325</v>
      </c>
    </row>
    <row r="10" customFormat="false" ht="23.85" hidden="false" customHeight="false" outlineLevel="0" collapsed="false">
      <c r="A10" s="21" t="s">
        <v>332</v>
      </c>
      <c r="B10" s="15" t="s">
        <v>318</v>
      </c>
      <c r="C10" s="15" t="s">
        <v>334</v>
      </c>
      <c r="D10" s="15" t="s">
        <v>329</v>
      </c>
      <c r="E10" s="21"/>
      <c r="F10" s="15" t="s">
        <v>325</v>
      </c>
    </row>
    <row r="11" customFormat="false" ht="23.85" hidden="false" customHeight="false" outlineLevel="0" collapsed="false">
      <c r="A11" s="21" t="s">
        <v>332</v>
      </c>
      <c r="B11" s="15" t="s">
        <v>318</v>
      </c>
      <c r="C11" s="15" t="s">
        <v>335</v>
      </c>
      <c r="D11" s="15" t="s">
        <v>329</v>
      </c>
      <c r="E11" s="21"/>
      <c r="F11" s="15" t="s">
        <v>325</v>
      </c>
    </row>
    <row r="12" customFormat="false" ht="23.85" hidden="false" customHeight="false" outlineLevel="0" collapsed="false">
      <c r="A12" s="21" t="s">
        <v>332</v>
      </c>
      <c r="B12" s="15" t="s">
        <v>318</v>
      </c>
      <c r="C12" s="15" t="s">
        <v>336</v>
      </c>
      <c r="D12" s="15" t="s">
        <v>329</v>
      </c>
      <c r="E12" s="21"/>
      <c r="F12" s="15" t="s">
        <v>325</v>
      </c>
    </row>
    <row r="13" customFormat="false" ht="23.85" hidden="false" customHeight="false" outlineLevel="0" collapsed="false">
      <c r="A13" s="21" t="s">
        <v>332</v>
      </c>
      <c r="B13" s="15" t="s">
        <v>318</v>
      </c>
      <c r="C13" s="15" t="s">
        <v>337</v>
      </c>
      <c r="D13" s="15" t="s">
        <v>329</v>
      </c>
      <c r="E13" s="21"/>
      <c r="F13" s="15" t="s">
        <v>325</v>
      </c>
    </row>
    <row r="14" customFormat="false" ht="15" hidden="false" customHeight="false" outlineLevel="0" collapsed="false">
      <c r="A14" s="21" t="s">
        <v>332</v>
      </c>
      <c r="B14" s="15" t="s">
        <v>327</v>
      </c>
      <c r="C14" s="15" t="s">
        <v>338</v>
      </c>
      <c r="D14" s="15" t="s">
        <v>329</v>
      </c>
      <c r="E14" s="21"/>
      <c r="F14" s="15" t="s">
        <v>35</v>
      </c>
    </row>
    <row r="15" customFormat="false" ht="15" hidden="false" customHeight="false" outlineLevel="0" collapsed="false">
      <c r="A15" s="21" t="s">
        <v>332</v>
      </c>
      <c r="B15" s="15" t="s">
        <v>327</v>
      </c>
      <c r="C15" s="15" t="s">
        <v>339</v>
      </c>
      <c r="D15" s="15" t="s">
        <v>329</v>
      </c>
      <c r="E15" s="21"/>
      <c r="F15" s="15" t="s">
        <v>35</v>
      </c>
    </row>
    <row r="16" customFormat="false" ht="23.85" hidden="false" customHeight="false" outlineLevel="0" collapsed="false">
      <c r="A16" s="21" t="s">
        <v>332</v>
      </c>
      <c r="B16" s="15" t="s">
        <v>327</v>
      </c>
      <c r="C16" s="15" t="s">
        <v>340</v>
      </c>
      <c r="D16" s="15" t="s">
        <v>320</v>
      </c>
      <c r="E16" s="21"/>
      <c r="F16" s="15" t="s">
        <v>35</v>
      </c>
    </row>
    <row r="17" customFormat="false" ht="15" hidden="false" customHeight="false" outlineLevel="0" collapsed="false">
      <c r="A17" s="21" t="s">
        <v>332</v>
      </c>
      <c r="B17" s="15" t="s">
        <v>322</v>
      </c>
      <c r="C17" s="15" t="s">
        <v>341</v>
      </c>
      <c r="D17" s="15" t="s">
        <v>324</v>
      </c>
      <c r="E17" s="21"/>
      <c r="F17" s="15" t="s">
        <v>35</v>
      </c>
    </row>
    <row r="18" customFormat="false" ht="23.85" hidden="false" customHeight="false" outlineLevel="0" collapsed="false">
      <c r="A18" s="21" t="s">
        <v>332</v>
      </c>
      <c r="B18" s="15" t="s">
        <v>322</v>
      </c>
      <c r="C18" s="15" t="s">
        <v>342</v>
      </c>
      <c r="D18" s="15" t="s">
        <v>343</v>
      </c>
      <c r="E18" s="21"/>
      <c r="F18" s="15" t="s">
        <v>35</v>
      </c>
    </row>
    <row r="19" customFormat="false" ht="23.85" hidden="false" customHeight="false" outlineLevel="0" collapsed="false">
      <c r="A19" s="21" t="s">
        <v>332</v>
      </c>
      <c r="B19" s="15" t="s">
        <v>344</v>
      </c>
      <c r="C19" s="15" t="s">
        <v>345</v>
      </c>
      <c r="D19" s="15" t="s">
        <v>324</v>
      </c>
      <c r="E19" s="21"/>
      <c r="F19" s="15" t="s">
        <v>35</v>
      </c>
    </row>
    <row r="20" customFormat="false" ht="23.85" hidden="false" customHeight="false" outlineLevel="0" collapsed="false">
      <c r="A20" s="21" t="s">
        <v>332</v>
      </c>
      <c r="B20" s="15" t="s">
        <v>344</v>
      </c>
      <c r="C20" s="15" t="s">
        <v>346</v>
      </c>
      <c r="D20" s="15" t="s">
        <v>347</v>
      </c>
      <c r="E20" s="21"/>
      <c r="F20" s="15" t="s">
        <v>35</v>
      </c>
    </row>
    <row r="21" customFormat="false" ht="23.85" hidden="false" customHeight="false" outlineLevel="0" collapsed="false">
      <c r="A21" s="21" t="s">
        <v>332</v>
      </c>
      <c r="B21" s="15" t="s">
        <v>344</v>
      </c>
      <c r="C21" s="15" t="s">
        <v>348</v>
      </c>
      <c r="D21" s="15" t="s">
        <v>324</v>
      </c>
      <c r="E21" s="21"/>
      <c r="F21" s="15" t="s">
        <v>35</v>
      </c>
    </row>
    <row r="22" customFormat="false" ht="23.85" hidden="false" customHeight="false" outlineLevel="0" collapsed="false">
      <c r="A22" s="21" t="s">
        <v>332</v>
      </c>
      <c r="B22" s="15" t="s">
        <v>318</v>
      </c>
      <c r="C22" s="15" t="s">
        <v>349</v>
      </c>
      <c r="D22" s="15" t="s">
        <v>329</v>
      </c>
      <c r="E22" s="21"/>
      <c r="F22" s="15" t="s">
        <v>325</v>
      </c>
    </row>
    <row r="23" customFormat="false" ht="23.85" hidden="false" customHeight="false" outlineLevel="0" collapsed="false">
      <c r="A23" s="21" t="s">
        <v>332</v>
      </c>
      <c r="B23" s="15" t="s">
        <v>318</v>
      </c>
      <c r="C23" s="15" t="s">
        <v>350</v>
      </c>
      <c r="D23" s="15" t="s">
        <v>329</v>
      </c>
      <c r="E23" s="21"/>
      <c r="F23" s="15" t="s">
        <v>325</v>
      </c>
    </row>
    <row r="24" customFormat="false" ht="23.85" hidden="false" customHeight="false" outlineLevel="0" collapsed="false">
      <c r="A24" s="21" t="s">
        <v>332</v>
      </c>
      <c r="B24" s="15" t="s">
        <v>318</v>
      </c>
      <c r="C24" s="15" t="s">
        <v>351</v>
      </c>
      <c r="D24" s="15" t="s">
        <v>329</v>
      </c>
      <c r="E24" s="21"/>
      <c r="F24" s="15" t="s">
        <v>36</v>
      </c>
    </row>
    <row r="25" customFormat="false" ht="23.85" hidden="false" customHeight="false" outlineLevel="0" collapsed="false">
      <c r="A25" s="21" t="s">
        <v>332</v>
      </c>
      <c r="B25" s="15" t="s">
        <v>327</v>
      </c>
      <c r="C25" s="15" t="s">
        <v>352</v>
      </c>
      <c r="D25" s="15" t="s">
        <v>329</v>
      </c>
      <c r="E25" s="21"/>
      <c r="F25" s="15" t="s">
        <v>35</v>
      </c>
    </row>
    <row r="26" customFormat="false" ht="23.85" hidden="false" customHeight="false" outlineLevel="0" collapsed="false">
      <c r="A26" s="21" t="s">
        <v>332</v>
      </c>
      <c r="B26" s="15" t="s">
        <v>327</v>
      </c>
      <c r="C26" s="15" t="s">
        <v>353</v>
      </c>
      <c r="D26" s="15" t="s">
        <v>343</v>
      </c>
      <c r="E26" s="21"/>
      <c r="F26" s="15" t="s">
        <v>35</v>
      </c>
    </row>
    <row r="27" customFormat="false" ht="23.85" hidden="false" customHeight="false" outlineLevel="0" collapsed="false">
      <c r="A27" s="21" t="s">
        <v>332</v>
      </c>
      <c r="B27" s="15" t="s">
        <v>327</v>
      </c>
      <c r="C27" s="15" t="s">
        <v>354</v>
      </c>
      <c r="D27" s="15" t="s">
        <v>343</v>
      </c>
      <c r="E27" s="21"/>
      <c r="F27" s="15" t="s">
        <v>35</v>
      </c>
    </row>
    <row r="28" customFormat="false" ht="23.85" hidden="false" customHeight="false" outlineLevel="0" collapsed="false">
      <c r="A28" s="21" t="s">
        <v>332</v>
      </c>
      <c r="B28" s="15" t="s">
        <v>322</v>
      </c>
      <c r="C28" s="15" t="s">
        <v>355</v>
      </c>
      <c r="D28" s="15" t="s">
        <v>320</v>
      </c>
      <c r="E28" s="21"/>
      <c r="F28" s="15" t="s">
        <v>36</v>
      </c>
    </row>
    <row r="29" customFormat="false" ht="23.85" hidden="false" customHeight="false" outlineLevel="0" collapsed="false">
      <c r="A29" s="21" t="s">
        <v>332</v>
      </c>
      <c r="B29" s="15" t="s">
        <v>318</v>
      </c>
      <c r="C29" s="15" t="s">
        <v>356</v>
      </c>
      <c r="D29" s="15" t="s">
        <v>329</v>
      </c>
      <c r="E29" s="21"/>
      <c r="F29" s="15" t="s">
        <v>36</v>
      </c>
    </row>
    <row r="30" customFormat="false" ht="23.85" hidden="false" customHeight="false" outlineLevel="0" collapsed="false">
      <c r="A30" s="21" t="s">
        <v>332</v>
      </c>
      <c r="B30" s="15" t="s">
        <v>318</v>
      </c>
      <c r="C30" s="15" t="s">
        <v>357</v>
      </c>
      <c r="D30" s="15" t="s">
        <v>324</v>
      </c>
      <c r="E30" s="21"/>
      <c r="F30" s="15" t="s">
        <v>325</v>
      </c>
    </row>
    <row r="31" customFormat="false" ht="23.85" hidden="false" customHeight="false" outlineLevel="0" collapsed="false">
      <c r="A31" s="21" t="s">
        <v>332</v>
      </c>
      <c r="B31" s="15" t="s">
        <v>327</v>
      </c>
      <c r="C31" s="15" t="s">
        <v>358</v>
      </c>
      <c r="D31" s="15" t="s">
        <v>329</v>
      </c>
      <c r="E31" s="21"/>
      <c r="F31" s="15" t="s">
        <v>35</v>
      </c>
    </row>
    <row r="32" customFormat="false" ht="23.85" hidden="false" customHeight="false" outlineLevel="0" collapsed="false">
      <c r="A32" s="21" t="s">
        <v>332</v>
      </c>
      <c r="B32" s="15" t="s">
        <v>318</v>
      </c>
      <c r="C32" s="15" t="s">
        <v>359</v>
      </c>
      <c r="D32" s="15" t="s">
        <v>329</v>
      </c>
      <c r="E32" s="21"/>
      <c r="F32" s="15" t="s">
        <v>325</v>
      </c>
    </row>
    <row r="33" customFormat="false" ht="23.85" hidden="false" customHeight="false" outlineLevel="0" collapsed="false">
      <c r="A33" s="21" t="s">
        <v>332</v>
      </c>
      <c r="B33" s="15" t="s">
        <v>322</v>
      </c>
      <c r="C33" s="15" t="s">
        <v>360</v>
      </c>
      <c r="D33" s="15" t="s">
        <v>329</v>
      </c>
      <c r="E33" s="21"/>
      <c r="F33" s="15" t="s">
        <v>35</v>
      </c>
    </row>
    <row r="34" customFormat="false" ht="23.85" hidden="false" customHeight="false" outlineLevel="0" collapsed="false">
      <c r="A34" s="21" t="s">
        <v>332</v>
      </c>
      <c r="B34" s="15" t="s">
        <v>327</v>
      </c>
      <c r="C34" s="15" t="s">
        <v>361</v>
      </c>
      <c r="D34" s="15" t="s">
        <v>329</v>
      </c>
      <c r="E34" s="21"/>
      <c r="F34" s="15" t="s">
        <v>35</v>
      </c>
    </row>
    <row r="35" customFormat="false" ht="23.85" hidden="false" customHeight="false" outlineLevel="0" collapsed="false">
      <c r="A35" s="21" t="s">
        <v>332</v>
      </c>
      <c r="B35" s="15" t="s">
        <v>318</v>
      </c>
      <c r="C35" s="15" t="s">
        <v>362</v>
      </c>
      <c r="D35" s="15" t="s">
        <v>329</v>
      </c>
      <c r="E35" s="21"/>
      <c r="F35" s="15" t="s">
        <v>325</v>
      </c>
    </row>
    <row r="36" customFormat="false" ht="35.05" hidden="false" customHeight="false" outlineLevel="0" collapsed="false">
      <c r="A36" s="21" t="s">
        <v>332</v>
      </c>
      <c r="B36" s="15" t="s">
        <v>322</v>
      </c>
      <c r="C36" s="15" t="s">
        <v>363</v>
      </c>
      <c r="D36" s="15" t="s">
        <v>324</v>
      </c>
      <c r="E36" s="21"/>
      <c r="F36" s="15" t="s">
        <v>35</v>
      </c>
    </row>
    <row r="37" customFormat="false" ht="35.05" hidden="false" customHeight="false" outlineLevel="0" collapsed="false">
      <c r="A37" s="21" t="s">
        <v>332</v>
      </c>
      <c r="B37" s="15" t="s">
        <v>344</v>
      </c>
      <c r="C37" s="15" t="s">
        <v>364</v>
      </c>
      <c r="D37" s="15" t="s">
        <v>343</v>
      </c>
      <c r="E37" s="21"/>
      <c r="F37" s="15" t="s">
        <v>35</v>
      </c>
    </row>
    <row r="38" customFormat="false" ht="46.25" hidden="false" customHeight="false" outlineLevel="0" collapsed="false">
      <c r="A38" s="21" t="s">
        <v>332</v>
      </c>
      <c r="B38" s="15" t="s">
        <v>318</v>
      </c>
      <c r="C38" s="15" t="s">
        <v>365</v>
      </c>
      <c r="D38" s="15" t="s">
        <v>329</v>
      </c>
      <c r="E38" s="21"/>
      <c r="F38" s="15" t="s">
        <v>325</v>
      </c>
    </row>
    <row r="39" customFormat="false" ht="15" hidden="false" customHeight="false" outlineLevel="0" collapsed="false">
      <c r="A39" s="21" t="s">
        <v>332</v>
      </c>
      <c r="B39" s="15" t="s">
        <v>322</v>
      </c>
      <c r="C39" s="15" t="s">
        <v>366</v>
      </c>
      <c r="D39" s="15" t="s">
        <v>324</v>
      </c>
      <c r="E39" s="21"/>
      <c r="F39" s="15" t="s">
        <v>35</v>
      </c>
    </row>
    <row r="40" customFormat="false" ht="23.85" hidden="false" customHeight="false" outlineLevel="0" collapsed="false">
      <c r="A40" s="21" t="s">
        <v>332</v>
      </c>
      <c r="B40" s="15" t="s">
        <v>322</v>
      </c>
      <c r="C40" s="15" t="s">
        <v>367</v>
      </c>
      <c r="D40" s="15" t="s">
        <v>324</v>
      </c>
      <c r="E40" s="21"/>
      <c r="F40" s="15" t="s">
        <v>35</v>
      </c>
    </row>
    <row r="41" customFormat="false" ht="23.85" hidden="false" customHeight="false" outlineLevel="0" collapsed="false">
      <c r="A41" s="21" t="s">
        <v>332</v>
      </c>
      <c r="B41" s="15" t="s">
        <v>318</v>
      </c>
      <c r="C41" s="15" t="s">
        <v>368</v>
      </c>
      <c r="D41" s="15" t="s">
        <v>329</v>
      </c>
      <c r="E41" s="21"/>
      <c r="F41" s="15" t="s">
        <v>325</v>
      </c>
    </row>
    <row r="42" customFormat="false" ht="35.05" hidden="false" customHeight="false" outlineLevel="0" collapsed="false">
      <c r="A42" s="21" t="s">
        <v>332</v>
      </c>
      <c r="B42" s="15" t="s">
        <v>322</v>
      </c>
      <c r="C42" s="15" t="s">
        <v>369</v>
      </c>
      <c r="D42" s="15" t="s">
        <v>324</v>
      </c>
      <c r="E42" s="21"/>
      <c r="F42" s="15" t="s">
        <v>325</v>
      </c>
    </row>
    <row r="43" customFormat="false" ht="23.85" hidden="false" customHeight="false" outlineLevel="0" collapsed="false">
      <c r="A43" s="21" t="s">
        <v>332</v>
      </c>
      <c r="B43" s="15" t="s">
        <v>322</v>
      </c>
      <c r="C43" s="15" t="s">
        <v>370</v>
      </c>
      <c r="D43" s="15" t="s">
        <v>329</v>
      </c>
      <c r="E43" s="21"/>
      <c r="F43" s="15" t="s">
        <v>35</v>
      </c>
    </row>
    <row r="44" customFormat="false" ht="46.25" hidden="false" customHeight="false" outlineLevel="0" collapsed="false">
      <c r="A44" s="21" t="s">
        <v>332</v>
      </c>
      <c r="B44" s="15" t="s">
        <v>318</v>
      </c>
      <c r="C44" s="15" t="s">
        <v>371</v>
      </c>
      <c r="D44" s="15" t="s">
        <v>372</v>
      </c>
      <c r="E44" s="21"/>
      <c r="F44" s="15" t="s">
        <v>325</v>
      </c>
    </row>
    <row r="45" customFormat="false" ht="35.05" hidden="false" customHeight="false" outlineLevel="0" collapsed="false">
      <c r="A45" s="21" t="s">
        <v>332</v>
      </c>
      <c r="B45" s="15" t="s">
        <v>322</v>
      </c>
      <c r="C45" s="15" t="s">
        <v>373</v>
      </c>
      <c r="D45" s="15" t="s">
        <v>324</v>
      </c>
      <c r="E45" s="21"/>
      <c r="F45" s="15" t="s">
        <v>35</v>
      </c>
    </row>
    <row r="46" customFormat="false" ht="23.85" hidden="false" customHeight="false" outlineLevel="0" collapsed="false">
      <c r="A46" s="21" t="s">
        <v>332</v>
      </c>
      <c r="B46" s="15" t="s">
        <v>327</v>
      </c>
      <c r="C46" s="15" t="s">
        <v>374</v>
      </c>
      <c r="D46" s="15" t="s">
        <v>329</v>
      </c>
      <c r="E46" s="21"/>
      <c r="F46" s="15" t="s">
        <v>35</v>
      </c>
    </row>
    <row r="47" customFormat="false" ht="35.05" hidden="false" customHeight="false" outlineLevel="0" collapsed="false">
      <c r="A47" s="21" t="s">
        <v>332</v>
      </c>
      <c r="B47" s="15" t="s">
        <v>322</v>
      </c>
      <c r="C47" s="15" t="s">
        <v>375</v>
      </c>
      <c r="D47" s="15" t="s">
        <v>324</v>
      </c>
      <c r="E47" s="21"/>
      <c r="F47" s="15" t="s">
        <v>325</v>
      </c>
    </row>
    <row r="48" customFormat="false" ht="23.85" hidden="false" customHeight="false" outlineLevel="0" collapsed="false">
      <c r="A48" s="21" t="s">
        <v>332</v>
      </c>
      <c r="B48" s="15" t="s">
        <v>322</v>
      </c>
      <c r="C48" s="15" t="s">
        <v>376</v>
      </c>
      <c r="D48" s="15" t="s">
        <v>329</v>
      </c>
      <c r="E48" s="21"/>
      <c r="F48" s="15" t="s">
        <v>35</v>
      </c>
    </row>
    <row r="49" customFormat="false" ht="15" hidden="false" customHeight="false" outlineLevel="0" collapsed="false">
      <c r="A49" s="22"/>
      <c r="E49" s="22"/>
    </row>
    <row r="50" customFormat="false" ht="15" hidden="false" customHeight="false" outlineLevel="0" collapsed="false">
      <c r="A50" s="22"/>
      <c r="E50" s="22"/>
    </row>
    <row r="51" customFormat="false" ht="15" hidden="false" customHeight="false" outlineLevel="0" collapsed="false">
      <c r="A51" s="22"/>
      <c r="E51" s="22"/>
    </row>
    <row r="52" customFormat="false" ht="15" hidden="false" customHeight="false" outlineLevel="0" collapsed="false">
      <c r="A52" s="22"/>
      <c r="E52" s="22"/>
    </row>
    <row r="53" customFormat="false" ht="15" hidden="false" customHeight="false" outlineLevel="0" collapsed="false">
      <c r="A53" s="22"/>
      <c r="E53" s="22"/>
    </row>
    <row r="54" customFormat="false" ht="15" hidden="false" customHeight="false" outlineLevel="0" collapsed="false">
      <c r="A54" s="22"/>
      <c r="E54" s="22"/>
    </row>
    <row r="55" customFormat="false" ht="15" hidden="false" customHeight="false" outlineLevel="0" collapsed="false">
      <c r="A55" s="22"/>
      <c r="E55" s="22"/>
    </row>
    <row r="56" customFormat="false" ht="15" hidden="false" customHeight="false" outlineLevel="0" collapsed="false">
      <c r="A56" s="22"/>
      <c r="E56" s="22"/>
    </row>
    <row r="57" customFormat="false" ht="15" hidden="false" customHeight="false" outlineLevel="0" collapsed="false">
      <c r="A57" s="22"/>
      <c r="E57" s="22"/>
    </row>
    <row r="58" customFormat="false" ht="15" hidden="false" customHeight="false" outlineLevel="0" collapsed="false">
      <c r="A58" s="22"/>
      <c r="E58" s="22"/>
    </row>
    <row r="59" customFormat="false" ht="15" hidden="false" customHeight="false" outlineLevel="0" collapsed="false">
      <c r="A59" s="22"/>
      <c r="E59" s="22"/>
    </row>
    <row r="60" customFormat="false" ht="15" hidden="false" customHeight="false" outlineLevel="0" collapsed="false">
      <c r="A60" s="22"/>
      <c r="E60" s="22"/>
    </row>
    <row r="61" customFormat="false" ht="15" hidden="false" customHeight="false" outlineLevel="0" collapsed="false">
      <c r="A61" s="22"/>
      <c r="E61" s="22"/>
    </row>
    <row r="62" customFormat="false" ht="15" hidden="false" customHeight="false" outlineLevel="0" collapsed="false">
      <c r="A62" s="22"/>
      <c r="E62" s="22"/>
    </row>
    <row r="63" customFormat="false" ht="15" hidden="false" customHeight="false" outlineLevel="0" collapsed="false">
      <c r="A63" s="22"/>
      <c r="E63" s="22"/>
    </row>
    <row r="64" customFormat="false" ht="15" hidden="false" customHeight="false" outlineLevel="0" collapsed="false">
      <c r="A64" s="22"/>
      <c r="E64" s="22"/>
    </row>
    <row r="65" customFormat="false" ht="15" hidden="false" customHeight="false" outlineLevel="0" collapsed="false">
      <c r="A65" s="22"/>
      <c r="E65" s="22"/>
    </row>
    <row r="66" customFormat="false" ht="15" hidden="false" customHeight="false" outlineLevel="0" collapsed="false">
      <c r="A66" s="22"/>
      <c r="E66" s="22"/>
    </row>
    <row r="67" customFormat="false" ht="15" hidden="false" customHeight="false" outlineLevel="0" collapsed="false">
      <c r="A67" s="22"/>
      <c r="E67" s="22"/>
    </row>
    <row r="68" customFormat="false" ht="15" hidden="false" customHeight="false" outlineLevel="0" collapsed="false">
      <c r="A68" s="22"/>
      <c r="E68" s="22"/>
    </row>
    <row r="69" customFormat="false" ht="15" hidden="false" customHeight="false" outlineLevel="0" collapsed="false">
      <c r="A69" s="22"/>
      <c r="E69" s="22"/>
    </row>
    <row r="70" customFormat="false" ht="15" hidden="false" customHeight="false" outlineLevel="0" collapsed="false">
      <c r="A70" s="22"/>
      <c r="E70" s="22"/>
    </row>
    <row r="71" customFormat="false" ht="15" hidden="false" customHeight="false" outlineLevel="0" collapsed="false">
      <c r="A71" s="22"/>
      <c r="E71" s="22"/>
    </row>
    <row r="72" customFormat="false" ht="15" hidden="false" customHeight="false" outlineLevel="0" collapsed="false">
      <c r="A72" s="22"/>
      <c r="E72" s="22"/>
    </row>
    <row r="73" customFormat="false" ht="15" hidden="false" customHeight="false" outlineLevel="0" collapsed="false">
      <c r="A73" s="22"/>
      <c r="E73" s="22"/>
    </row>
    <row r="74" customFormat="false" ht="15" hidden="false" customHeight="false" outlineLevel="0" collapsed="false">
      <c r="A74" s="22"/>
      <c r="E74" s="22"/>
    </row>
    <row r="75" customFormat="false" ht="15" hidden="false" customHeight="false" outlineLevel="0" collapsed="false">
      <c r="A75" s="22"/>
      <c r="E75" s="22"/>
    </row>
    <row r="76" customFormat="false" ht="15" hidden="false" customHeight="false" outlineLevel="0" collapsed="false">
      <c r="A76" s="22"/>
      <c r="E76" s="22"/>
    </row>
    <row r="77" customFormat="false" ht="15" hidden="false" customHeight="false" outlineLevel="0" collapsed="false">
      <c r="A77" s="22"/>
      <c r="E77" s="22"/>
    </row>
    <row r="78" customFormat="false" ht="15" hidden="false" customHeight="false" outlineLevel="0" collapsed="false">
      <c r="A78" s="22"/>
      <c r="E78" s="22"/>
    </row>
    <row r="79" customFormat="false" ht="15" hidden="false" customHeight="false" outlineLevel="0" collapsed="false">
      <c r="A79" s="22"/>
      <c r="E79" s="22"/>
    </row>
    <row r="80" customFormat="false" ht="15" hidden="false" customHeight="false" outlineLevel="0" collapsed="false">
      <c r="A80" s="22"/>
      <c r="E80" s="22"/>
    </row>
    <row r="81" customFormat="false" ht="15" hidden="false" customHeight="false" outlineLevel="0" collapsed="false">
      <c r="A81" s="22"/>
      <c r="E81" s="22"/>
    </row>
    <row r="82" customFormat="false" ht="15" hidden="false" customHeight="false" outlineLevel="0" collapsed="false">
      <c r="A82" s="22"/>
      <c r="E82" s="22"/>
    </row>
    <row r="83" customFormat="false" ht="15" hidden="false" customHeight="false" outlineLevel="0" collapsed="false">
      <c r="A83" s="22"/>
      <c r="E83" s="22"/>
    </row>
    <row r="84" customFormat="false" ht="15" hidden="false" customHeight="false" outlineLevel="0" collapsed="false">
      <c r="A84" s="22"/>
      <c r="E84" s="22"/>
    </row>
    <row r="85" customFormat="false" ht="15" hidden="false" customHeight="false" outlineLevel="0" collapsed="false">
      <c r="A85" s="22"/>
      <c r="E85" s="22"/>
    </row>
    <row r="86" customFormat="false" ht="15" hidden="false" customHeight="false" outlineLevel="0" collapsed="false">
      <c r="A86" s="22"/>
      <c r="E86" s="22"/>
    </row>
    <row r="87" customFormat="false" ht="15" hidden="false" customHeight="false" outlineLevel="0" collapsed="false">
      <c r="A87" s="22"/>
      <c r="E87" s="22"/>
    </row>
    <row r="88" customFormat="false" ht="15" hidden="false" customHeight="false" outlineLevel="0" collapsed="false">
      <c r="A88" s="22"/>
      <c r="E88" s="22"/>
    </row>
    <row r="89" customFormat="false" ht="15" hidden="false" customHeight="false" outlineLevel="0" collapsed="false">
      <c r="A89" s="22"/>
      <c r="E89" s="22"/>
    </row>
    <row r="90" customFormat="false" ht="15" hidden="false" customHeight="false" outlineLevel="0" collapsed="false">
      <c r="A90" s="22"/>
      <c r="E90" s="22"/>
    </row>
    <row r="91" customFormat="false" ht="15" hidden="false" customHeight="false" outlineLevel="0" collapsed="false">
      <c r="A91" s="22"/>
      <c r="E91" s="22"/>
    </row>
    <row r="92" customFormat="false" ht="15" hidden="false" customHeight="false" outlineLevel="0" collapsed="false">
      <c r="A92" s="22"/>
      <c r="E92" s="22"/>
    </row>
    <row r="93" customFormat="false" ht="15" hidden="false" customHeight="false" outlineLevel="0" collapsed="false">
      <c r="A93" s="22"/>
      <c r="E93" s="22"/>
    </row>
    <row r="94" customFormat="false" ht="15" hidden="false" customHeight="false" outlineLevel="0" collapsed="false">
      <c r="A94" s="22"/>
      <c r="E94" s="22"/>
    </row>
    <row r="95" customFormat="false" ht="15" hidden="false" customHeight="false" outlineLevel="0" collapsed="false">
      <c r="A95" s="22"/>
      <c r="E95" s="22"/>
    </row>
    <row r="96" customFormat="false" ht="15" hidden="false" customHeight="false" outlineLevel="0" collapsed="false">
      <c r="A96" s="22"/>
      <c r="E96" s="22"/>
    </row>
    <row r="97" customFormat="false" ht="15" hidden="false" customHeight="false" outlineLevel="0" collapsed="false">
      <c r="A97" s="22"/>
      <c r="E97" s="22"/>
    </row>
    <row r="98" customFormat="false" ht="15" hidden="false" customHeight="false" outlineLevel="0" collapsed="false">
      <c r="A98" s="22"/>
      <c r="E98" s="22"/>
    </row>
    <row r="99" customFormat="false" ht="15" hidden="false" customHeight="false" outlineLevel="0" collapsed="false">
      <c r="A99" s="22"/>
      <c r="E99" s="22"/>
    </row>
    <row r="100" customFormat="false" ht="15" hidden="false" customHeight="false" outlineLevel="0" collapsed="false">
      <c r="A100" s="22"/>
      <c r="E100" s="22"/>
    </row>
    <row r="101" customFormat="false" ht="15" hidden="false" customHeight="false" outlineLevel="0" collapsed="false">
      <c r="A101" s="22"/>
      <c r="E101" s="22"/>
    </row>
    <row r="102" customFormat="false" ht="15" hidden="false" customHeight="false" outlineLevel="0" collapsed="false">
      <c r="A102" s="22"/>
      <c r="E102" s="22"/>
    </row>
    <row r="103" customFormat="false" ht="15" hidden="false" customHeight="false" outlineLevel="0" collapsed="false">
      <c r="A103" s="22"/>
      <c r="E103" s="22"/>
    </row>
    <row r="104" customFormat="false" ht="15" hidden="false" customHeight="false" outlineLevel="0" collapsed="false">
      <c r="A104" s="22"/>
      <c r="E104" s="22"/>
    </row>
    <row r="105" customFormat="false" ht="15" hidden="false" customHeight="false" outlineLevel="0" collapsed="false">
      <c r="A105" s="22"/>
      <c r="E105" s="22"/>
    </row>
    <row r="106" customFormat="false" ht="15" hidden="false" customHeight="false" outlineLevel="0" collapsed="false">
      <c r="A106" s="22"/>
      <c r="E106" s="22"/>
    </row>
    <row r="107" customFormat="false" ht="15" hidden="false" customHeight="false" outlineLevel="0" collapsed="false">
      <c r="A107" s="22"/>
      <c r="E107" s="22"/>
    </row>
    <row r="108" customFormat="false" ht="15" hidden="false" customHeight="false" outlineLevel="0" collapsed="false">
      <c r="A108" s="22"/>
      <c r="E108" s="22"/>
    </row>
    <row r="109" customFormat="false" ht="15" hidden="false" customHeight="false" outlineLevel="0" collapsed="false">
      <c r="A109" s="22"/>
      <c r="E109" s="22"/>
    </row>
    <row r="110" customFormat="false" ht="15" hidden="false" customHeight="false" outlineLevel="0" collapsed="false">
      <c r="A110" s="22"/>
      <c r="E110" s="22"/>
    </row>
    <row r="111" customFormat="false" ht="15" hidden="false" customHeight="false" outlineLevel="0" collapsed="false">
      <c r="A111" s="22"/>
      <c r="E111" s="22"/>
    </row>
    <row r="112" customFormat="false" ht="15" hidden="false" customHeight="false" outlineLevel="0" collapsed="false">
      <c r="A112" s="22"/>
      <c r="E112" s="22"/>
    </row>
    <row r="113" customFormat="false" ht="15" hidden="false" customHeight="false" outlineLevel="0" collapsed="false">
      <c r="A113" s="22"/>
      <c r="E113" s="22"/>
    </row>
    <row r="114" customFormat="false" ht="15" hidden="false" customHeight="false" outlineLevel="0" collapsed="false">
      <c r="A114" s="22"/>
      <c r="E114" s="22"/>
    </row>
    <row r="115" customFormat="false" ht="15" hidden="false" customHeight="false" outlineLevel="0" collapsed="false">
      <c r="A115" s="22"/>
      <c r="E115" s="22"/>
    </row>
    <row r="116" customFormat="false" ht="15" hidden="false" customHeight="false" outlineLevel="0" collapsed="false">
      <c r="A116" s="22"/>
      <c r="E116" s="22"/>
    </row>
    <row r="117" customFormat="false" ht="15" hidden="false" customHeight="false" outlineLevel="0" collapsed="false">
      <c r="A117" s="22"/>
      <c r="E117" s="22"/>
    </row>
    <row r="118" customFormat="false" ht="15" hidden="false" customHeight="false" outlineLevel="0" collapsed="false">
      <c r="A118" s="22"/>
      <c r="E118" s="22"/>
    </row>
    <row r="119" customFormat="false" ht="15" hidden="false" customHeight="false" outlineLevel="0" collapsed="false">
      <c r="A119" s="22"/>
      <c r="E119" s="22"/>
    </row>
    <row r="120" customFormat="false" ht="15" hidden="false" customHeight="false" outlineLevel="0" collapsed="false">
      <c r="A120" s="22"/>
      <c r="E120" s="22"/>
    </row>
    <row r="121" customFormat="false" ht="15" hidden="false" customHeight="false" outlineLevel="0" collapsed="false">
      <c r="A121" s="22"/>
      <c r="E121" s="22"/>
    </row>
    <row r="122" customFormat="false" ht="15" hidden="false" customHeight="false" outlineLevel="0" collapsed="false">
      <c r="A122" s="22"/>
      <c r="E122" s="22"/>
    </row>
    <row r="123" customFormat="false" ht="15" hidden="false" customHeight="false" outlineLevel="0" collapsed="false">
      <c r="A123" s="22"/>
      <c r="E123" s="22"/>
    </row>
    <row r="124" customFormat="false" ht="15" hidden="false" customHeight="false" outlineLevel="0" collapsed="false">
      <c r="A124" s="22"/>
      <c r="E124" s="22"/>
    </row>
    <row r="125" customFormat="false" ht="15" hidden="false" customHeight="false" outlineLevel="0" collapsed="false">
      <c r="A125" s="22"/>
      <c r="E125" s="22"/>
    </row>
    <row r="126" customFormat="false" ht="15" hidden="false" customHeight="false" outlineLevel="0" collapsed="false">
      <c r="A126" s="22"/>
      <c r="E126" s="22"/>
    </row>
    <row r="127" customFormat="false" ht="15" hidden="false" customHeight="false" outlineLevel="0" collapsed="false">
      <c r="A127" s="22"/>
      <c r="E127" s="22"/>
    </row>
    <row r="128" customFormat="false" ht="15" hidden="false" customHeight="false" outlineLevel="0" collapsed="false">
      <c r="A128" s="22"/>
      <c r="E128" s="22"/>
    </row>
    <row r="129" customFormat="false" ht="15" hidden="false" customHeight="false" outlineLevel="0" collapsed="false">
      <c r="A129" s="22"/>
      <c r="E129" s="22"/>
    </row>
    <row r="130" customFormat="false" ht="15" hidden="false" customHeight="false" outlineLevel="0" collapsed="false">
      <c r="A130" s="22"/>
      <c r="E130" s="22"/>
    </row>
    <row r="131" customFormat="false" ht="15" hidden="false" customHeight="false" outlineLevel="0" collapsed="false">
      <c r="A131" s="22"/>
      <c r="E131" s="22"/>
    </row>
    <row r="132" customFormat="false" ht="15" hidden="false" customHeight="false" outlineLevel="0" collapsed="false">
      <c r="A132" s="22"/>
      <c r="E132" s="22"/>
    </row>
    <row r="133" customFormat="false" ht="15" hidden="false" customHeight="false" outlineLevel="0" collapsed="false">
      <c r="A133" s="22"/>
      <c r="E133" s="22"/>
    </row>
    <row r="134" customFormat="false" ht="15" hidden="false" customHeight="false" outlineLevel="0" collapsed="false">
      <c r="A134" s="22"/>
      <c r="E134" s="22"/>
    </row>
    <row r="135" customFormat="false" ht="15" hidden="false" customHeight="false" outlineLevel="0" collapsed="false">
      <c r="A135" s="22"/>
      <c r="E135" s="22"/>
    </row>
    <row r="136" customFormat="false" ht="15" hidden="false" customHeight="false" outlineLevel="0" collapsed="false">
      <c r="A136" s="22"/>
      <c r="E136" s="22"/>
    </row>
    <row r="137" customFormat="false" ht="15" hidden="false" customHeight="false" outlineLevel="0" collapsed="false">
      <c r="A137" s="22"/>
      <c r="E137" s="22"/>
    </row>
    <row r="138" customFormat="false" ht="15" hidden="false" customHeight="false" outlineLevel="0" collapsed="false">
      <c r="A138" s="22"/>
      <c r="E138" s="22"/>
    </row>
    <row r="139" customFormat="false" ht="15" hidden="false" customHeight="false" outlineLevel="0" collapsed="false">
      <c r="A139" s="22"/>
      <c r="E139" s="22"/>
    </row>
    <row r="140" customFormat="false" ht="15" hidden="false" customHeight="false" outlineLevel="0" collapsed="false">
      <c r="A140" s="22"/>
      <c r="E140" s="22"/>
    </row>
    <row r="141" customFormat="false" ht="15" hidden="false" customHeight="false" outlineLevel="0" collapsed="false">
      <c r="A141" s="22"/>
      <c r="E141" s="22"/>
    </row>
    <row r="142" customFormat="false" ht="15" hidden="false" customHeight="false" outlineLevel="0" collapsed="false">
      <c r="A142" s="22"/>
      <c r="E142" s="22"/>
    </row>
    <row r="143" customFormat="false" ht="15" hidden="false" customHeight="false" outlineLevel="0" collapsed="false">
      <c r="A143" s="22"/>
      <c r="E143" s="22"/>
    </row>
    <row r="144" customFormat="false" ht="15" hidden="false" customHeight="false" outlineLevel="0" collapsed="false">
      <c r="A144" s="22"/>
      <c r="E144" s="22"/>
    </row>
    <row r="145" customFormat="false" ht="15" hidden="false" customHeight="false" outlineLevel="0" collapsed="false">
      <c r="A145" s="22"/>
      <c r="E145" s="22"/>
    </row>
    <row r="146" customFormat="false" ht="15" hidden="false" customHeight="false" outlineLevel="0" collapsed="false">
      <c r="A146" s="22"/>
      <c r="E146" s="22"/>
    </row>
    <row r="147" customFormat="false" ht="15" hidden="false" customHeight="false" outlineLevel="0" collapsed="false">
      <c r="A147" s="22"/>
      <c r="E147" s="22"/>
    </row>
    <row r="148" customFormat="false" ht="15" hidden="false" customHeight="false" outlineLevel="0" collapsed="false">
      <c r="A148" s="22"/>
      <c r="E148" s="22"/>
    </row>
    <row r="149" customFormat="false" ht="15" hidden="false" customHeight="false" outlineLevel="0" collapsed="false">
      <c r="A149" s="22"/>
      <c r="E149" s="22"/>
    </row>
    <row r="150" customFormat="false" ht="15" hidden="false" customHeight="false" outlineLevel="0" collapsed="false">
      <c r="A150" s="22"/>
      <c r="E150" s="22"/>
    </row>
    <row r="151" customFormat="false" ht="15" hidden="false" customHeight="false" outlineLevel="0" collapsed="false">
      <c r="A151" s="22"/>
      <c r="E151" s="22"/>
    </row>
    <row r="152" customFormat="false" ht="15" hidden="false" customHeight="false" outlineLevel="0" collapsed="false">
      <c r="A152" s="22"/>
      <c r="E152" s="22"/>
    </row>
    <row r="153" customFormat="false" ht="15" hidden="false" customHeight="false" outlineLevel="0" collapsed="false">
      <c r="A153" s="22"/>
      <c r="E153" s="22"/>
    </row>
    <row r="154" customFormat="false" ht="15" hidden="false" customHeight="false" outlineLevel="0" collapsed="false">
      <c r="A154" s="22"/>
      <c r="E154" s="22"/>
    </row>
    <row r="155" customFormat="false" ht="15" hidden="false" customHeight="false" outlineLevel="0" collapsed="false">
      <c r="A155" s="22"/>
      <c r="E155" s="22"/>
    </row>
    <row r="156" customFormat="false" ht="15" hidden="false" customHeight="false" outlineLevel="0" collapsed="false">
      <c r="A156" s="22"/>
      <c r="E156" s="22"/>
    </row>
    <row r="157" customFormat="false" ht="15" hidden="false" customHeight="false" outlineLevel="0" collapsed="false">
      <c r="A157" s="22"/>
      <c r="E157" s="22"/>
    </row>
    <row r="158" customFormat="false" ht="15" hidden="false" customHeight="false" outlineLevel="0" collapsed="false">
      <c r="A158" s="22"/>
      <c r="E158" s="22"/>
    </row>
    <row r="159" customFormat="false" ht="15" hidden="false" customHeight="false" outlineLevel="0" collapsed="false">
      <c r="A159" s="22"/>
      <c r="E159" s="22"/>
    </row>
    <row r="160" customFormat="false" ht="15" hidden="false" customHeight="false" outlineLevel="0" collapsed="false">
      <c r="A160" s="22"/>
      <c r="E160" s="22"/>
    </row>
    <row r="161" customFormat="false" ht="15" hidden="false" customHeight="false" outlineLevel="0" collapsed="false">
      <c r="A161" s="22"/>
      <c r="E161" s="22"/>
    </row>
    <row r="162" customFormat="false" ht="15" hidden="false" customHeight="false" outlineLevel="0" collapsed="false">
      <c r="A162" s="22"/>
      <c r="E162" s="22"/>
    </row>
    <row r="163" customFormat="false" ht="15" hidden="false" customHeight="false" outlineLevel="0" collapsed="false">
      <c r="A163" s="22"/>
      <c r="E163" s="22"/>
    </row>
    <row r="164" customFormat="false" ht="15" hidden="false" customHeight="false" outlineLevel="0" collapsed="false">
      <c r="A164" s="22"/>
      <c r="E164" s="22"/>
    </row>
    <row r="165" customFormat="false" ht="15" hidden="false" customHeight="false" outlineLevel="0" collapsed="false">
      <c r="A165" s="22"/>
      <c r="E165" s="22"/>
    </row>
    <row r="166" customFormat="false" ht="15" hidden="false" customHeight="false" outlineLevel="0" collapsed="false">
      <c r="A166" s="22"/>
      <c r="E166" s="22"/>
    </row>
    <row r="167" customFormat="false" ht="15" hidden="false" customHeight="false" outlineLevel="0" collapsed="false">
      <c r="A167" s="22"/>
      <c r="E167" s="22"/>
    </row>
    <row r="168" customFormat="false" ht="15" hidden="false" customHeight="false" outlineLevel="0" collapsed="false">
      <c r="A168" s="22"/>
      <c r="E168" s="22"/>
    </row>
    <row r="169" customFormat="false" ht="15" hidden="false" customHeight="false" outlineLevel="0" collapsed="false">
      <c r="A169" s="22"/>
      <c r="E169" s="22"/>
    </row>
    <row r="170" customFormat="false" ht="15" hidden="false" customHeight="false" outlineLevel="0" collapsed="false">
      <c r="A170" s="22"/>
      <c r="E170" s="22"/>
    </row>
    <row r="171" customFormat="false" ht="15" hidden="false" customHeight="false" outlineLevel="0" collapsed="false">
      <c r="A171" s="22"/>
      <c r="E171" s="22"/>
    </row>
    <row r="172" customFormat="false" ht="15" hidden="false" customHeight="false" outlineLevel="0" collapsed="false">
      <c r="A172" s="22"/>
      <c r="E172" s="22"/>
    </row>
    <row r="173" customFormat="false" ht="15" hidden="false" customHeight="false" outlineLevel="0" collapsed="false">
      <c r="A173" s="22"/>
      <c r="E173" s="22"/>
    </row>
    <row r="174" customFormat="false" ht="15" hidden="false" customHeight="false" outlineLevel="0" collapsed="false">
      <c r="A174" s="22"/>
      <c r="E174" s="22"/>
    </row>
    <row r="175" customFormat="false" ht="15" hidden="false" customHeight="false" outlineLevel="0" collapsed="false">
      <c r="A175" s="22"/>
      <c r="E175" s="22"/>
    </row>
    <row r="176" customFormat="false" ht="15" hidden="false" customHeight="false" outlineLevel="0" collapsed="false">
      <c r="A176" s="22"/>
      <c r="E176" s="22"/>
    </row>
    <row r="177" customFormat="false" ht="15" hidden="false" customHeight="false" outlineLevel="0" collapsed="false">
      <c r="A177" s="22"/>
      <c r="E177" s="22"/>
    </row>
    <row r="178" customFormat="false" ht="15" hidden="false" customHeight="false" outlineLevel="0" collapsed="false">
      <c r="A178" s="22"/>
      <c r="E178" s="22"/>
    </row>
    <row r="179" customFormat="false" ht="15" hidden="false" customHeight="false" outlineLevel="0" collapsed="false">
      <c r="A179" s="22"/>
      <c r="E179" s="22"/>
    </row>
    <row r="180" customFormat="false" ht="15" hidden="false" customHeight="false" outlineLevel="0" collapsed="false">
      <c r="A180" s="22"/>
      <c r="E180" s="22"/>
    </row>
    <row r="181" customFormat="false" ht="15" hidden="false" customHeight="false" outlineLevel="0" collapsed="false">
      <c r="A181" s="22"/>
      <c r="E181" s="22"/>
    </row>
    <row r="182" customFormat="false" ht="15" hidden="false" customHeight="false" outlineLevel="0" collapsed="false">
      <c r="A182" s="22"/>
      <c r="E182" s="22"/>
    </row>
    <row r="183" customFormat="false" ht="15" hidden="false" customHeight="false" outlineLevel="0" collapsed="false">
      <c r="A183" s="22"/>
      <c r="E183" s="22"/>
    </row>
    <row r="184" customFormat="false" ht="15" hidden="false" customHeight="false" outlineLevel="0" collapsed="false">
      <c r="A184" s="22"/>
      <c r="E184" s="22"/>
    </row>
    <row r="185" customFormat="false" ht="15" hidden="false" customHeight="false" outlineLevel="0" collapsed="false">
      <c r="A185" s="22"/>
      <c r="E185" s="22"/>
    </row>
    <row r="186" customFormat="false" ht="15" hidden="false" customHeight="false" outlineLevel="0" collapsed="false">
      <c r="A186" s="22"/>
      <c r="E186" s="22"/>
    </row>
    <row r="187" customFormat="false" ht="15" hidden="false" customHeight="false" outlineLevel="0" collapsed="false">
      <c r="A187" s="22"/>
      <c r="E187" s="22"/>
    </row>
    <row r="188" customFormat="false" ht="15" hidden="false" customHeight="false" outlineLevel="0" collapsed="false">
      <c r="A188" s="22"/>
      <c r="E188" s="22"/>
    </row>
    <row r="189" customFormat="false" ht="15" hidden="false" customHeight="false" outlineLevel="0" collapsed="false">
      <c r="A189" s="22"/>
      <c r="E189" s="22"/>
    </row>
    <row r="190" customFormat="false" ht="15" hidden="false" customHeight="false" outlineLevel="0" collapsed="false">
      <c r="A190" s="22"/>
      <c r="E190" s="22"/>
    </row>
    <row r="191" customFormat="false" ht="15" hidden="false" customHeight="false" outlineLevel="0" collapsed="false">
      <c r="A191" s="22"/>
      <c r="E191" s="22"/>
    </row>
    <row r="192" customFormat="false" ht="15" hidden="false" customHeight="false" outlineLevel="0" collapsed="false">
      <c r="A192" s="22"/>
      <c r="E192" s="22"/>
    </row>
    <row r="193" customFormat="false" ht="15" hidden="false" customHeight="false" outlineLevel="0" collapsed="false">
      <c r="A193" s="22"/>
      <c r="E193" s="22"/>
    </row>
    <row r="194" customFormat="false" ht="15" hidden="false" customHeight="false" outlineLevel="0" collapsed="false">
      <c r="A194" s="22"/>
      <c r="E194" s="22"/>
    </row>
    <row r="195" customFormat="false" ht="15" hidden="false" customHeight="false" outlineLevel="0" collapsed="false">
      <c r="A195" s="22"/>
      <c r="E195" s="22"/>
    </row>
    <row r="196" customFormat="false" ht="15" hidden="false" customHeight="false" outlineLevel="0" collapsed="false">
      <c r="A196" s="22"/>
      <c r="E196" s="22"/>
    </row>
    <row r="197" customFormat="false" ht="15" hidden="false" customHeight="false" outlineLevel="0" collapsed="false">
      <c r="A197" s="22"/>
      <c r="E197" s="22"/>
    </row>
    <row r="198" customFormat="false" ht="15" hidden="false" customHeight="false" outlineLevel="0" collapsed="false">
      <c r="A198" s="22"/>
      <c r="E198" s="22"/>
    </row>
    <row r="199" customFormat="false" ht="15" hidden="false" customHeight="false" outlineLevel="0" collapsed="false">
      <c r="A199" s="22"/>
      <c r="E199" s="22"/>
    </row>
  </sheetData>
  <dataValidations count="2">
    <dataValidation allowBlank="true" errorStyle="stop" operator="between" showDropDown="false" showErrorMessage="false" showInputMessage="false" sqref="B2:B200" type="list">
      <formula1>"Décision,Action,Question ouverte,Risque"</formula1>
      <formula2>0</formula2>
    </dataValidation>
    <dataValidation allowBlank="true" errorStyle="stop" operator="between" showDropDown="false" showErrorMessage="false" showInputMessage="false" sqref="F2:F200" type="list">
      <formula1>"À faire,En cours,Terminé"</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30"/>
    <col collapsed="false" customWidth="true" hidden="false" outlineLevel="0" max="5" min="4" style="0" width="15"/>
    <col collapsed="false" customWidth="true" hidden="false" outlineLevel="0" max="8" min="6" style="0" width="12"/>
    <col collapsed="false" customWidth="true" hidden="false" outlineLevel="0" max="9" min="9" style="0" width="36"/>
  </cols>
  <sheetData>
    <row r="1" customFormat="false" ht="17.35" hidden="false" customHeight="false" outlineLevel="0" collapsed="false">
      <c r="A1" s="23" t="s">
        <v>377</v>
      </c>
    </row>
    <row r="2" customFormat="false" ht="15" hidden="false" customHeight="false" outlineLevel="0" collapsed="false">
      <c r="A2" s="2" t="s">
        <v>378</v>
      </c>
    </row>
    <row r="3" customFormat="false" ht="15" hidden="false" customHeight="false" outlineLevel="0" collapsed="false">
      <c r="A3" s="8" t="s">
        <v>379</v>
      </c>
      <c r="B3" s="8" t="s">
        <v>53</v>
      </c>
      <c r="C3" s="8" t="s">
        <v>380</v>
      </c>
    </row>
    <row r="4" customFormat="false" ht="15" hidden="false" customHeight="false" outlineLevel="0" collapsed="false">
      <c r="A4" s="9" t="s">
        <v>381</v>
      </c>
      <c r="B4" s="24" t="n">
        <v>10</v>
      </c>
      <c r="C4" s="9" t="s">
        <v>382</v>
      </c>
    </row>
    <row r="5" customFormat="false" ht="15" hidden="false" customHeight="false" outlineLevel="0" collapsed="false">
      <c r="A5" s="9" t="s">
        <v>383</v>
      </c>
      <c r="B5" s="25" t="n">
        <v>1.1</v>
      </c>
      <c r="C5" s="9" t="s">
        <v>384</v>
      </c>
    </row>
    <row r="6" customFormat="false" ht="15" hidden="false" customHeight="false" outlineLevel="0" collapsed="false">
      <c r="A6" s="9" t="s">
        <v>385</v>
      </c>
      <c r="B6" s="26" t="n">
        <v>0.5</v>
      </c>
      <c r="C6" s="9" t="s">
        <v>386</v>
      </c>
    </row>
    <row r="7" customFormat="false" ht="15" hidden="false" customHeight="false" outlineLevel="0" collapsed="false">
      <c r="A7" s="9" t="s">
        <v>387</v>
      </c>
      <c r="B7" s="26" t="n">
        <v>0.8</v>
      </c>
      <c r="C7" s="9" t="s">
        <v>388</v>
      </c>
    </row>
    <row r="8" customFormat="false" ht="15" hidden="false" customHeight="false" outlineLevel="0" collapsed="false">
      <c r="A8" s="9" t="s">
        <v>389</v>
      </c>
      <c r="B8" s="26" t="n">
        <v>1</v>
      </c>
      <c r="C8" s="9" t="s">
        <v>390</v>
      </c>
    </row>
    <row r="9" customFormat="false" ht="15" hidden="false" customHeight="false" outlineLevel="0" collapsed="false">
      <c r="A9" s="9" t="s">
        <v>391</v>
      </c>
      <c r="B9" s="27" t="n">
        <v>15000</v>
      </c>
      <c r="C9" s="9" t="s">
        <v>392</v>
      </c>
    </row>
    <row r="10" customFormat="false" ht="15" hidden="false" customHeight="false" outlineLevel="0" collapsed="false">
      <c r="A10" s="9" t="s">
        <v>393</v>
      </c>
      <c r="B10" s="27" t="n">
        <v>1500</v>
      </c>
      <c r="C10" s="9" t="s">
        <v>394</v>
      </c>
    </row>
    <row r="12" customFormat="false" ht="15" hidden="false" customHeight="false" outlineLevel="0" collapsed="false">
      <c r="A12" s="7" t="s">
        <v>395</v>
      </c>
    </row>
    <row r="13" customFormat="false" ht="15" hidden="false" customHeight="false" outlineLevel="0" collapsed="false">
      <c r="A13" s="8" t="s">
        <v>396</v>
      </c>
      <c r="B13" s="8" t="s">
        <v>397</v>
      </c>
      <c r="C13" s="8" t="s">
        <v>398</v>
      </c>
      <c r="D13" s="8" t="s">
        <v>399</v>
      </c>
      <c r="E13" s="8" t="s">
        <v>380</v>
      </c>
    </row>
    <row r="14" customFormat="false" ht="15" hidden="false" customHeight="false" outlineLevel="0" collapsed="false">
      <c r="A14" s="9" t="s">
        <v>400</v>
      </c>
      <c r="B14" s="9" t="s">
        <v>401</v>
      </c>
      <c r="C14" s="25" t="n">
        <v>1</v>
      </c>
      <c r="D14" s="25" t="n">
        <v>5</v>
      </c>
      <c r="E14" s="9" t="s">
        <v>402</v>
      </c>
    </row>
    <row r="15" customFormat="false" ht="15" hidden="false" customHeight="false" outlineLevel="0" collapsed="false">
      <c r="A15" s="9" t="s">
        <v>403</v>
      </c>
      <c r="B15" s="9" t="s">
        <v>404</v>
      </c>
      <c r="C15" s="25" t="n">
        <v>2</v>
      </c>
      <c r="D15" s="25" t="n">
        <v>10</v>
      </c>
      <c r="E15" s="9" t="s">
        <v>405</v>
      </c>
    </row>
    <row r="16" customFormat="false" ht="15" hidden="false" customHeight="false" outlineLevel="0" collapsed="false">
      <c r="A16" s="9" t="s">
        <v>406</v>
      </c>
      <c r="B16" s="9" t="s">
        <v>407</v>
      </c>
      <c r="C16" s="25" t="n">
        <v>4</v>
      </c>
      <c r="D16" s="25" t="n">
        <v>20</v>
      </c>
      <c r="E16" s="9" t="s">
        <v>408</v>
      </c>
    </row>
    <row r="17" customFormat="false" ht="15" hidden="false" customHeight="false" outlineLevel="0" collapsed="false">
      <c r="A17" s="2" t="s">
        <v>409</v>
      </c>
    </row>
    <row r="19" customFormat="false" ht="15" hidden="false" customHeight="false" outlineLevel="0" collapsed="false">
      <c r="A19" s="7" t="s">
        <v>410</v>
      </c>
    </row>
    <row r="20" customFormat="false" ht="15" hidden="false" customHeight="false" outlineLevel="0" collapsed="false">
      <c r="A20" s="3" t="s">
        <v>411</v>
      </c>
      <c r="B20" s="28" t="n">
        <f aca="false">SUM(G34:G233)</f>
        <v>0</v>
      </c>
    </row>
    <row r="21" customFormat="false" ht="15" hidden="false" customHeight="false" outlineLevel="0" collapsed="false">
      <c r="A21" s="3" t="s">
        <v>412</v>
      </c>
      <c r="B21" s="28" t="n">
        <f aca="false">B4-B20</f>
        <v>10</v>
      </c>
    </row>
    <row r="22" customFormat="false" ht="15" hidden="false" customHeight="false" outlineLevel="0" collapsed="false">
      <c r="A22" s="3" t="s">
        <v>413</v>
      </c>
      <c r="B22" s="29" t="n">
        <f aca="false">IF(B4=0,0,B20/B4)</f>
        <v>0</v>
      </c>
    </row>
    <row r="23" customFormat="false" ht="15" hidden="false" customHeight="false" outlineLevel="0" collapsed="false">
      <c r="A23" s="3" t="s">
        <v>235</v>
      </c>
      <c r="B23" s="30" t="str">
        <f aca="false">IF(B22&gt;=B8,"ARRÊT TOTAL – attendre la décision du porteur",IF(B22&gt;=B7,"CRITIQUES SEULEMENT",IF(B22&gt;=B6,"VIGILANCE – lots (Batch)","NORMAL")))</f>
        <v>NORMAL</v>
      </c>
    </row>
    <row r="24" customFormat="false" ht="15" hidden="false" customHeight="false" outlineLevel="0" collapsed="false">
      <c r="A24" s="3" t="s">
        <v>414</v>
      </c>
      <c r="B24" s="31" t="n">
        <f aca="false">COUNT(D34:D233)</f>
        <v>0</v>
      </c>
    </row>
    <row r="25" customFormat="false" ht="15" hidden="false" customHeight="false" outlineLevel="0" collapsed="false">
      <c r="A25" s="3" t="s">
        <v>415</v>
      </c>
      <c r="B25" s="32" t="n">
        <f aca="false">(B9*C15+B10*D15)/1000000</f>
        <v>0.045</v>
      </c>
    </row>
    <row r="26" customFormat="false" ht="15" hidden="false" customHeight="false" outlineLevel="0" collapsed="false">
      <c r="A26" s="3" t="s">
        <v>416</v>
      </c>
      <c r="B26" s="31" t="n">
        <f aca="false">IF(B25=0,0,ROUNDDOWN(MAX(0,B21)*B5/B25,0))</f>
        <v>244</v>
      </c>
    </row>
    <row r="27" customFormat="false" ht="15" hidden="false" customHeight="false" outlineLevel="0" collapsed="false">
      <c r="A27" s="3" t="s">
        <v>417</v>
      </c>
      <c r="B27" s="32" t="str">
        <f aca="false">IF(B24=0,"",B20/B24)</f>
        <v/>
      </c>
    </row>
    <row r="29" customFormat="false" ht="15" hidden="false" customHeight="false" outlineLevel="0" collapsed="false">
      <c r="A29" s="7" t="s">
        <v>418</v>
      </c>
    </row>
    <row r="30" customFormat="false" ht="15" hidden="false" customHeight="false" outlineLevel="0" collapsed="false">
      <c r="A30" s="2" t="s">
        <v>419</v>
      </c>
    </row>
    <row r="31" customFormat="false" ht="15" hidden="false" customHeight="false" outlineLevel="0" collapsed="false">
      <c r="A31" s="2" t="s">
        <v>420</v>
      </c>
    </row>
    <row r="33" customFormat="false" ht="15" hidden="false" customHeight="false" outlineLevel="0" collapsed="false">
      <c r="A33" s="8" t="s">
        <v>316</v>
      </c>
      <c r="B33" s="8" t="s">
        <v>396</v>
      </c>
      <c r="C33" s="8" t="s">
        <v>421</v>
      </c>
      <c r="D33" s="8" t="s">
        <v>422</v>
      </c>
      <c r="E33" s="8" t="s">
        <v>423</v>
      </c>
      <c r="F33" s="8" t="s">
        <v>424</v>
      </c>
      <c r="G33" s="8" t="s">
        <v>425</v>
      </c>
      <c r="H33" s="8" t="s">
        <v>426</v>
      </c>
      <c r="I33" s="8" t="s">
        <v>82</v>
      </c>
    </row>
    <row r="34" customFormat="false" ht="15" hidden="false" customHeight="false" outlineLevel="0" collapsed="false">
      <c r="A34" s="33"/>
      <c r="B34" s="34"/>
      <c r="C34" s="34"/>
      <c r="D34" s="27"/>
      <c r="E34" s="27"/>
      <c r="F34" s="35" t="str">
        <f aca="false">IF(OR(D34="",E34=""),"",IFERROR((D34*INDEX($C$14:$C$16,MATCH(B34,$A$14:$A$16,0))+E34*INDEX($D$14:$D$16,MATCH(B34,$A$14:$A$16,0)))/1000000,""))</f>
        <v/>
      </c>
      <c r="G34" s="35" t="str">
        <f aca="false">IF(F34="","",F34/$B$5)</f>
        <v/>
      </c>
      <c r="H34" s="35" t="str">
        <f aca="false">IF(G34="","",SUM($G$34:G34))</f>
        <v/>
      </c>
      <c r="I34" s="34"/>
    </row>
    <row r="35" customFormat="false" ht="15" hidden="false" customHeight="false" outlineLevel="0" collapsed="false">
      <c r="A35" s="33"/>
      <c r="B35" s="34"/>
      <c r="C35" s="34"/>
      <c r="D35" s="27"/>
      <c r="E35" s="27"/>
      <c r="F35" s="35" t="str">
        <f aca="false">IF(OR(D35="",E35=""),"",IFERROR((D35*INDEX($C$14:$C$16,MATCH(B35,$A$14:$A$16,0))+E35*INDEX($D$14:$D$16,MATCH(B35,$A$14:$A$16,0)))/1000000,""))</f>
        <v/>
      </c>
      <c r="G35" s="35" t="str">
        <f aca="false">IF(F35="","",F35/$B$5)</f>
        <v/>
      </c>
      <c r="H35" s="35" t="str">
        <f aca="false">IF(G35="","",SUM($G$34:G35))</f>
        <v/>
      </c>
      <c r="I35" s="34"/>
    </row>
    <row r="36" customFormat="false" ht="15" hidden="false" customHeight="false" outlineLevel="0" collapsed="false">
      <c r="A36" s="33"/>
      <c r="B36" s="34"/>
      <c r="C36" s="34"/>
      <c r="D36" s="27"/>
      <c r="E36" s="27"/>
      <c r="F36" s="35" t="str">
        <f aca="false">IF(OR(D36="",E36=""),"",IFERROR((D36*INDEX($C$14:$C$16,MATCH(B36,$A$14:$A$16,0))+E36*INDEX($D$14:$D$16,MATCH(B36,$A$14:$A$16,0)))/1000000,""))</f>
        <v/>
      </c>
      <c r="G36" s="35" t="str">
        <f aca="false">IF(F36="","",F36/$B$5)</f>
        <v/>
      </c>
      <c r="H36" s="35" t="str">
        <f aca="false">IF(G36="","",SUM($G$34:G36))</f>
        <v/>
      </c>
      <c r="I36" s="34"/>
    </row>
    <row r="37" customFormat="false" ht="15" hidden="false" customHeight="false" outlineLevel="0" collapsed="false">
      <c r="A37" s="33"/>
      <c r="B37" s="34"/>
      <c r="C37" s="34"/>
      <c r="D37" s="27"/>
      <c r="E37" s="27"/>
      <c r="F37" s="35" t="str">
        <f aca="false">IF(OR(D37="",E37=""),"",IFERROR((D37*INDEX($C$14:$C$16,MATCH(B37,$A$14:$A$16,0))+E37*INDEX($D$14:$D$16,MATCH(B37,$A$14:$A$16,0)))/1000000,""))</f>
        <v/>
      </c>
      <c r="G37" s="35" t="str">
        <f aca="false">IF(F37="","",F37/$B$5)</f>
        <v/>
      </c>
      <c r="H37" s="35" t="str">
        <f aca="false">IF(G37="","",SUM($G$34:G37))</f>
        <v/>
      </c>
      <c r="I37" s="34"/>
    </row>
    <row r="38" customFormat="false" ht="15" hidden="false" customHeight="false" outlineLevel="0" collapsed="false">
      <c r="A38" s="33"/>
      <c r="B38" s="34"/>
      <c r="C38" s="34"/>
      <c r="D38" s="27"/>
      <c r="E38" s="27"/>
      <c r="F38" s="35" t="str">
        <f aca="false">IF(OR(D38="",E38=""),"",IFERROR((D38*INDEX($C$14:$C$16,MATCH(B38,$A$14:$A$16,0))+E38*INDEX($D$14:$D$16,MATCH(B38,$A$14:$A$16,0)))/1000000,""))</f>
        <v/>
      </c>
      <c r="G38" s="35" t="str">
        <f aca="false">IF(F38="","",F38/$B$5)</f>
        <v/>
      </c>
      <c r="H38" s="35" t="str">
        <f aca="false">IF(G38="","",SUM($G$34:G38))</f>
        <v/>
      </c>
      <c r="I38" s="34"/>
    </row>
    <row r="39" customFormat="false" ht="15" hidden="false" customHeight="false" outlineLevel="0" collapsed="false">
      <c r="A39" s="33"/>
      <c r="B39" s="34"/>
      <c r="C39" s="34"/>
      <c r="D39" s="27"/>
      <c r="E39" s="27"/>
      <c r="F39" s="35" t="str">
        <f aca="false">IF(OR(D39="",E39=""),"",IFERROR((D39*INDEX($C$14:$C$16,MATCH(B39,$A$14:$A$16,0))+E39*INDEX($D$14:$D$16,MATCH(B39,$A$14:$A$16,0)))/1000000,""))</f>
        <v/>
      </c>
      <c r="G39" s="35" t="str">
        <f aca="false">IF(F39="","",F39/$B$5)</f>
        <v/>
      </c>
      <c r="H39" s="35" t="str">
        <f aca="false">IF(G39="","",SUM($G$34:G39))</f>
        <v/>
      </c>
      <c r="I39" s="34"/>
    </row>
    <row r="40" customFormat="false" ht="15" hidden="false" customHeight="false" outlineLevel="0" collapsed="false">
      <c r="A40" s="33"/>
      <c r="B40" s="34"/>
      <c r="C40" s="34"/>
      <c r="D40" s="27"/>
      <c r="E40" s="27"/>
      <c r="F40" s="35" t="str">
        <f aca="false">IF(OR(D40="",E40=""),"",IFERROR((D40*INDEX($C$14:$C$16,MATCH(B40,$A$14:$A$16,0))+E40*INDEX($D$14:$D$16,MATCH(B40,$A$14:$A$16,0)))/1000000,""))</f>
        <v/>
      </c>
      <c r="G40" s="35" t="str">
        <f aca="false">IF(F40="","",F40/$B$5)</f>
        <v/>
      </c>
      <c r="H40" s="35" t="str">
        <f aca="false">IF(G40="","",SUM($G$34:G40))</f>
        <v/>
      </c>
      <c r="I40" s="34"/>
    </row>
    <row r="41" customFormat="false" ht="15" hidden="false" customHeight="false" outlineLevel="0" collapsed="false">
      <c r="A41" s="33"/>
      <c r="B41" s="34"/>
      <c r="C41" s="34"/>
      <c r="D41" s="27"/>
      <c r="E41" s="27"/>
      <c r="F41" s="35" t="str">
        <f aca="false">IF(OR(D41="",E41=""),"",IFERROR((D41*INDEX($C$14:$C$16,MATCH(B41,$A$14:$A$16,0))+E41*INDEX($D$14:$D$16,MATCH(B41,$A$14:$A$16,0)))/1000000,""))</f>
        <v/>
      </c>
      <c r="G41" s="35" t="str">
        <f aca="false">IF(F41="","",F41/$B$5)</f>
        <v/>
      </c>
      <c r="H41" s="35" t="str">
        <f aca="false">IF(G41="","",SUM($G$34:G41))</f>
        <v/>
      </c>
      <c r="I41" s="34"/>
    </row>
    <row r="42" customFormat="false" ht="15" hidden="false" customHeight="false" outlineLevel="0" collapsed="false">
      <c r="A42" s="33"/>
      <c r="B42" s="34"/>
      <c r="C42" s="34"/>
      <c r="D42" s="27"/>
      <c r="E42" s="27"/>
      <c r="F42" s="35" t="str">
        <f aca="false">IF(OR(D42="",E42=""),"",IFERROR((D42*INDEX($C$14:$C$16,MATCH(B42,$A$14:$A$16,0))+E42*INDEX($D$14:$D$16,MATCH(B42,$A$14:$A$16,0)))/1000000,""))</f>
        <v/>
      </c>
      <c r="G42" s="35" t="str">
        <f aca="false">IF(F42="","",F42/$B$5)</f>
        <v/>
      </c>
      <c r="H42" s="35" t="str">
        <f aca="false">IF(G42="","",SUM($G$34:G42))</f>
        <v/>
      </c>
      <c r="I42" s="34"/>
    </row>
    <row r="43" customFormat="false" ht="15" hidden="false" customHeight="false" outlineLevel="0" collapsed="false">
      <c r="A43" s="33"/>
      <c r="B43" s="34"/>
      <c r="C43" s="34"/>
      <c r="D43" s="27"/>
      <c r="E43" s="27"/>
      <c r="F43" s="35" t="str">
        <f aca="false">IF(OR(D43="",E43=""),"",IFERROR((D43*INDEX($C$14:$C$16,MATCH(B43,$A$14:$A$16,0))+E43*INDEX($D$14:$D$16,MATCH(B43,$A$14:$A$16,0)))/1000000,""))</f>
        <v/>
      </c>
      <c r="G43" s="35" t="str">
        <f aca="false">IF(F43="","",F43/$B$5)</f>
        <v/>
      </c>
      <c r="H43" s="35" t="str">
        <f aca="false">IF(G43="","",SUM($G$34:G43))</f>
        <v/>
      </c>
      <c r="I43" s="34"/>
    </row>
    <row r="44" customFormat="false" ht="15" hidden="false" customHeight="false" outlineLevel="0" collapsed="false">
      <c r="A44" s="33"/>
      <c r="B44" s="34"/>
      <c r="C44" s="34"/>
      <c r="D44" s="27"/>
      <c r="E44" s="27"/>
      <c r="F44" s="35" t="str">
        <f aca="false">IF(OR(D44="",E44=""),"",IFERROR((D44*INDEX($C$14:$C$16,MATCH(B44,$A$14:$A$16,0))+E44*INDEX($D$14:$D$16,MATCH(B44,$A$14:$A$16,0)))/1000000,""))</f>
        <v/>
      </c>
      <c r="G44" s="35" t="str">
        <f aca="false">IF(F44="","",F44/$B$5)</f>
        <v/>
      </c>
      <c r="H44" s="35" t="str">
        <f aca="false">IF(G44="","",SUM($G$34:G44))</f>
        <v/>
      </c>
      <c r="I44" s="34"/>
    </row>
    <row r="45" customFormat="false" ht="15" hidden="false" customHeight="false" outlineLevel="0" collapsed="false">
      <c r="A45" s="33"/>
      <c r="B45" s="34"/>
      <c r="C45" s="34"/>
      <c r="D45" s="27"/>
      <c r="E45" s="27"/>
      <c r="F45" s="35" t="str">
        <f aca="false">IF(OR(D45="",E45=""),"",IFERROR((D45*INDEX($C$14:$C$16,MATCH(B45,$A$14:$A$16,0))+E45*INDEX($D$14:$D$16,MATCH(B45,$A$14:$A$16,0)))/1000000,""))</f>
        <v/>
      </c>
      <c r="G45" s="35" t="str">
        <f aca="false">IF(F45="","",F45/$B$5)</f>
        <v/>
      </c>
      <c r="H45" s="35" t="str">
        <f aca="false">IF(G45="","",SUM($G$34:G45))</f>
        <v/>
      </c>
      <c r="I45" s="34"/>
    </row>
    <row r="46" customFormat="false" ht="15" hidden="false" customHeight="false" outlineLevel="0" collapsed="false">
      <c r="A46" s="33"/>
      <c r="B46" s="34"/>
      <c r="C46" s="34"/>
      <c r="D46" s="27"/>
      <c r="E46" s="27"/>
      <c r="F46" s="35" t="str">
        <f aca="false">IF(OR(D46="",E46=""),"",IFERROR((D46*INDEX($C$14:$C$16,MATCH(B46,$A$14:$A$16,0))+E46*INDEX($D$14:$D$16,MATCH(B46,$A$14:$A$16,0)))/1000000,""))</f>
        <v/>
      </c>
      <c r="G46" s="35" t="str">
        <f aca="false">IF(F46="","",F46/$B$5)</f>
        <v/>
      </c>
      <c r="H46" s="35" t="str">
        <f aca="false">IF(G46="","",SUM($G$34:G46))</f>
        <v/>
      </c>
      <c r="I46" s="34"/>
    </row>
    <row r="47" customFormat="false" ht="15" hidden="false" customHeight="false" outlineLevel="0" collapsed="false">
      <c r="A47" s="33"/>
      <c r="B47" s="34"/>
      <c r="C47" s="34"/>
      <c r="D47" s="27"/>
      <c r="E47" s="27"/>
      <c r="F47" s="35" t="str">
        <f aca="false">IF(OR(D47="",E47=""),"",IFERROR((D47*INDEX($C$14:$C$16,MATCH(B47,$A$14:$A$16,0))+E47*INDEX($D$14:$D$16,MATCH(B47,$A$14:$A$16,0)))/1000000,""))</f>
        <v/>
      </c>
      <c r="G47" s="35" t="str">
        <f aca="false">IF(F47="","",F47/$B$5)</f>
        <v/>
      </c>
      <c r="H47" s="35" t="str">
        <f aca="false">IF(G47="","",SUM($G$34:G47))</f>
        <v/>
      </c>
      <c r="I47" s="34"/>
    </row>
    <row r="48" customFormat="false" ht="15" hidden="false" customHeight="false" outlineLevel="0" collapsed="false">
      <c r="A48" s="33"/>
      <c r="B48" s="34"/>
      <c r="C48" s="34"/>
      <c r="D48" s="27"/>
      <c r="E48" s="27"/>
      <c r="F48" s="35" t="str">
        <f aca="false">IF(OR(D48="",E48=""),"",IFERROR((D48*INDEX($C$14:$C$16,MATCH(B48,$A$14:$A$16,0))+E48*INDEX($D$14:$D$16,MATCH(B48,$A$14:$A$16,0)))/1000000,""))</f>
        <v/>
      </c>
      <c r="G48" s="35" t="str">
        <f aca="false">IF(F48="","",F48/$B$5)</f>
        <v/>
      </c>
      <c r="H48" s="35" t="str">
        <f aca="false">IF(G48="","",SUM($G$34:G48))</f>
        <v/>
      </c>
      <c r="I48" s="34"/>
    </row>
    <row r="49" customFormat="false" ht="15" hidden="false" customHeight="false" outlineLevel="0" collapsed="false">
      <c r="A49" s="33"/>
      <c r="B49" s="34"/>
      <c r="C49" s="34"/>
      <c r="D49" s="27"/>
      <c r="E49" s="27"/>
      <c r="F49" s="35" t="str">
        <f aca="false">IF(OR(D49="",E49=""),"",IFERROR((D49*INDEX($C$14:$C$16,MATCH(B49,$A$14:$A$16,0))+E49*INDEX($D$14:$D$16,MATCH(B49,$A$14:$A$16,0)))/1000000,""))</f>
        <v/>
      </c>
      <c r="G49" s="35" t="str">
        <f aca="false">IF(F49="","",F49/$B$5)</f>
        <v/>
      </c>
      <c r="H49" s="35" t="str">
        <f aca="false">IF(G49="","",SUM($G$34:G49))</f>
        <v/>
      </c>
      <c r="I49" s="34"/>
    </row>
    <row r="50" customFormat="false" ht="15" hidden="false" customHeight="false" outlineLevel="0" collapsed="false">
      <c r="A50" s="33"/>
      <c r="B50" s="34"/>
      <c r="C50" s="34"/>
      <c r="D50" s="27"/>
      <c r="E50" s="27"/>
      <c r="F50" s="35" t="str">
        <f aca="false">IF(OR(D50="",E50=""),"",IFERROR((D50*INDEX($C$14:$C$16,MATCH(B50,$A$14:$A$16,0))+E50*INDEX($D$14:$D$16,MATCH(B50,$A$14:$A$16,0)))/1000000,""))</f>
        <v/>
      </c>
      <c r="G50" s="35" t="str">
        <f aca="false">IF(F50="","",F50/$B$5)</f>
        <v/>
      </c>
      <c r="H50" s="35" t="str">
        <f aca="false">IF(G50="","",SUM($G$34:G50))</f>
        <v/>
      </c>
      <c r="I50" s="34"/>
    </row>
    <row r="51" customFormat="false" ht="15" hidden="false" customHeight="false" outlineLevel="0" collapsed="false">
      <c r="A51" s="33"/>
      <c r="B51" s="34"/>
      <c r="C51" s="34"/>
      <c r="D51" s="27"/>
      <c r="E51" s="27"/>
      <c r="F51" s="35" t="str">
        <f aca="false">IF(OR(D51="",E51=""),"",IFERROR((D51*INDEX($C$14:$C$16,MATCH(B51,$A$14:$A$16,0))+E51*INDEX($D$14:$D$16,MATCH(B51,$A$14:$A$16,0)))/1000000,""))</f>
        <v/>
      </c>
      <c r="G51" s="35" t="str">
        <f aca="false">IF(F51="","",F51/$B$5)</f>
        <v/>
      </c>
      <c r="H51" s="35" t="str">
        <f aca="false">IF(G51="","",SUM($G$34:G51))</f>
        <v/>
      </c>
      <c r="I51" s="34"/>
    </row>
    <row r="52" customFormat="false" ht="15" hidden="false" customHeight="false" outlineLevel="0" collapsed="false">
      <c r="A52" s="33"/>
      <c r="B52" s="34"/>
      <c r="C52" s="34"/>
      <c r="D52" s="27"/>
      <c r="E52" s="27"/>
      <c r="F52" s="35" t="str">
        <f aca="false">IF(OR(D52="",E52=""),"",IFERROR((D52*INDEX($C$14:$C$16,MATCH(B52,$A$14:$A$16,0))+E52*INDEX($D$14:$D$16,MATCH(B52,$A$14:$A$16,0)))/1000000,""))</f>
        <v/>
      </c>
      <c r="G52" s="35" t="str">
        <f aca="false">IF(F52="","",F52/$B$5)</f>
        <v/>
      </c>
      <c r="H52" s="35" t="str">
        <f aca="false">IF(G52="","",SUM($G$34:G52))</f>
        <v/>
      </c>
      <c r="I52" s="34"/>
    </row>
    <row r="53" customFormat="false" ht="15" hidden="false" customHeight="false" outlineLevel="0" collapsed="false">
      <c r="A53" s="33"/>
      <c r="B53" s="34"/>
      <c r="C53" s="34"/>
      <c r="D53" s="27"/>
      <c r="E53" s="27"/>
      <c r="F53" s="35" t="str">
        <f aca="false">IF(OR(D53="",E53=""),"",IFERROR((D53*INDEX($C$14:$C$16,MATCH(B53,$A$14:$A$16,0))+E53*INDEX($D$14:$D$16,MATCH(B53,$A$14:$A$16,0)))/1000000,""))</f>
        <v/>
      </c>
      <c r="G53" s="35" t="str">
        <f aca="false">IF(F53="","",F53/$B$5)</f>
        <v/>
      </c>
      <c r="H53" s="35" t="str">
        <f aca="false">IF(G53="","",SUM($G$34:G53))</f>
        <v/>
      </c>
      <c r="I53" s="34"/>
    </row>
    <row r="54" customFormat="false" ht="15" hidden="false" customHeight="false" outlineLevel="0" collapsed="false">
      <c r="A54" s="33"/>
      <c r="B54" s="34"/>
      <c r="C54" s="34"/>
      <c r="D54" s="27"/>
      <c r="E54" s="27"/>
      <c r="F54" s="35" t="str">
        <f aca="false">IF(OR(D54="",E54=""),"",IFERROR((D54*INDEX($C$14:$C$16,MATCH(B54,$A$14:$A$16,0))+E54*INDEX($D$14:$D$16,MATCH(B54,$A$14:$A$16,0)))/1000000,""))</f>
        <v/>
      </c>
      <c r="G54" s="35" t="str">
        <f aca="false">IF(F54="","",F54/$B$5)</f>
        <v/>
      </c>
      <c r="H54" s="35" t="str">
        <f aca="false">IF(G54="","",SUM($G$34:G54))</f>
        <v/>
      </c>
      <c r="I54" s="34"/>
    </row>
    <row r="55" customFormat="false" ht="15" hidden="false" customHeight="false" outlineLevel="0" collapsed="false">
      <c r="A55" s="33"/>
      <c r="B55" s="34"/>
      <c r="C55" s="34"/>
      <c r="D55" s="27"/>
      <c r="E55" s="27"/>
      <c r="F55" s="35" t="str">
        <f aca="false">IF(OR(D55="",E55=""),"",IFERROR((D55*INDEX($C$14:$C$16,MATCH(B55,$A$14:$A$16,0))+E55*INDEX($D$14:$D$16,MATCH(B55,$A$14:$A$16,0)))/1000000,""))</f>
        <v/>
      </c>
      <c r="G55" s="35" t="str">
        <f aca="false">IF(F55="","",F55/$B$5)</f>
        <v/>
      </c>
      <c r="H55" s="35" t="str">
        <f aca="false">IF(G55="","",SUM($G$34:G55))</f>
        <v/>
      </c>
      <c r="I55" s="34"/>
    </row>
    <row r="56" customFormat="false" ht="15" hidden="false" customHeight="false" outlineLevel="0" collapsed="false">
      <c r="A56" s="33"/>
      <c r="B56" s="34"/>
      <c r="C56" s="34"/>
      <c r="D56" s="27"/>
      <c r="E56" s="27"/>
      <c r="F56" s="35" t="str">
        <f aca="false">IF(OR(D56="",E56=""),"",IFERROR((D56*INDEX($C$14:$C$16,MATCH(B56,$A$14:$A$16,0))+E56*INDEX($D$14:$D$16,MATCH(B56,$A$14:$A$16,0)))/1000000,""))</f>
        <v/>
      </c>
      <c r="G56" s="35" t="str">
        <f aca="false">IF(F56="","",F56/$B$5)</f>
        <v/>
      </c>
      <c r="H56" s="35" t="str">
        <f aca="false">IF(G56="","",SUM($G$34:G56))</f>
        <v/>
      </c>
      <c r="I56" s="34"/>
    </row>
    <row r="57" customFormat="false" ht="15" hidden="false" customHeight="false" outlineLevel="0" collapsed="false">
      <c r="A57" s="33"/>
      <c r="B57" s="34"/>
      <c r="C57" s="34"/>
      <c r="D57" s="27"/>
      <c r="E57" s="27"/>
      <c r="F57" s="35" t="str">
        <f aca="false">IF(OR(D57="",E57=""),"",IFERROR((D57*INDEX($C$14:$C$16,MATCH(B57,$A$14:$A$16,0))+E57*INDEX($D$14:$D$16,MATCH(B57,$A$14:$A$16,0)))/1000000,""))</f>
        <v/>
      </c>
      <c r="G57" s="35" t="str">
        <f aca="false">IF(F57="","",F57/$B$5)</f>
        <v/>
      </c>
      <c r="H57" s="35" t="str">
        <f aca="false">IF(G57="","",SUM($G$34:G57))</f>
        <v/>
      </c>
      <c r="I57" s="34"/>
    </row>
    <row r="58" customFormat="false" ht="15" hidden="false" customHeight="false" outlineLevel="0" collapsed="false">
      <c r="A58" s="33"/>
      <c r="B58" s="34"/>
      <c r="C58" s="34"/>
      <c r="D58" s="27"/>
      <c r="E58" s="27"/>
      <c r="F58" s="35" t="str">
        <f aca="false">IF(OR(D58="",E58=""),"",IFERROR((D58*INDEX($C$14:$C$16,MATCH(B58,$A$14:$A$16,0))+E58*INDEX($D$14:$D$16,MATCH(B58,$A$14:$A$16,0)))/1000000,""))</f>
        <v/>
      </c>
      <c r="G58" s="35" t="str">
        <f aca="false">IF(F58="","",F58/$B$5)</f>
        <v/>
      </c>
      <c r="H58" s="35" t="str">
        <f aca="false">IF(G58="","",SUM($G$34:G58))</f>
        <v/>
      </c>
      <c r="I58" s="34"/>
    </row>
    <row r="59" customFormat="false" ht="15" hidden="false" customHeight="false" outlineLevel="0" collapsed="false">
      <c r="A59" s="33"/>
      <c r="B59" s="34"/>
      <c r="C59" s="34"/>
      <c r="D59" s="27"/>
      <c r="E59" s="27"/>
      <c r="F59" s="35" t="str">
        <f aca="false">IF(OR(D59="",E59=""),"",IFERROR((D59*INDEX($C$14:$C$16,MATCH(B59,$A$14:$A$16,0))+E59*INDEX($D$14:$D$16,MATCH(B59,$A$14:$A$16,0)))/1000000,""))</f>
        <v/>
      </c>
      <c r="G59" s="35" t="str">
        <f aca="false">IF(F59="","",F59/$B$5)</f>
        <v/>
      </c>
      <c r="H59" s="35" t="str">
        <f aca="false">IF(G59="","",SUM($G$34:G59))</f>
        <v/>
      </c>
      <c r="I59" s="34"/>
    </row>
    <row r="60" customFormat="false" ht="15" hidden="false" customHeight="false" outlineLevel="0" collapsed="false">
      <c r="A60" s="33"/>
      <c r="B60" s="34"/>
      <c r="C60" s="34"/>
      <c r="D60" s="27"/>
      <c r="E60" s="27"/>
      <c r="F60" s="35" t="str">
        <f aca="false">IF(OR(D60="",E60=""),"",IFERROR((D60*INDEX($C$14:$C$16,MATCH(B60,$A$14:$A$16,0))+E60*INDEX($D$14:$D$16,MATCH(B60,$A$14:$A$16,0)))/1000000,""))</f>
        <v/>
      </c>
      <c r="G60" s="35" t="str">
        <f aca="false">IF(F60="","",F60/$B$5)</f>
        <v/>
      </c>
      <c r="H60" s="35" t="str">
        <f aca="false">IF(G60="","",SUM($G$34:G60))</f>
        <v/>
      </c>
      <c r="I60" s="34"/>
    </row>
    <row r="61" customFormat="false" ht="15" hidden="false" customHeight="false" outlineLevel="0" collapsed="false">
      <c r="A61" s="33"/>
      <c r="B61" s="34"/>
      <c r="C61" s="34"/>
      <c r="D61" s="27"/>
      <c r="E61" s="27"/>
      <c r="F61" s="35" t="str">
        <f aca="false">IF(OR(D61="",E61=""),"",IFERROR((D61*INDEX($C$14:$C$16,MATCH(B61,$A$14:$A$16,0))+E61*INDEX($D$14:$D$16,MATCH(B61,$A$14:$A$16,0)))/1000000,""))</f>
        <v/>
      </c>
      <c r="G61" s="35" t="str">
        <f aca="false">IF(F61="","",F61/$B$5)</f>
        <v/>
      </c>
      <c r="H61" s="35" t="str">
        <f aca="false">IF(G61="","",SUM($G$34:G61))</f>
        <v/>
      </c>
      <c r="I61" s="34"/>
    </row>
    <row r="62" customFormat="false" ht="15" hidden="false" customHeight="false" outlineLevel="0" collapsed="false">
      <c r="A62" s="33"/>
      <c r="B62" s="34"/>
      <c r="C62" s="34"/>
      <c r="D62" s="27"/>
      <c r="E62" s="27"/>
      <c r="F62" s="35" t="str">
        <f aca="false">IF(OR(D62="",E62=""),"",IFERROR((D62*INDEX($C$14:$C$16,MATCH(B62,$A$14:$A$16,0))+E62*INDEX($D$14:$D$16,MATCH(B62,$A$14:$A$16,0)))/1000000,""))</f>
        <v/>
      </c>
      <c r="G62" s="35" t="str">
        <f aca="false">IF(F62="","",F62/$B$5)</f>
        <v/>
      </c>
      <c r="H62" s="35" t="str">
        <f aca="false">IF(G62="","",SUM($G$34:G62))</f>
        <v/>
      </c>
      <c r="I62" s="34"/>
    </row>
    <row r="63" customFormat="false" ht="15" hidden="false" customHeight="false" outlineLevel="0" collapsed="false">
      <c r="A63" s="33"/>
      <c r="B63" s="34"/>
      <c r="C63" s="34"/>
      <c r="D63" s="27"/>
      <c r="E63" s="27"/>
      <c r="F63" s="35" t="str">
        <f aca="false">IF(OR(D63="",E63=""),"",IFERROR((D63*INDEX($C$14:$C$16,MATCH(B63,$A$14:$A$16,0))+E63*INDEX($D$14:$D$16,MATCH(B63,$A$14:$A$16,0)))/1000000,""))</f>
        <v/>
      </c>
      <c r="G63" s="35" t="str">
        <f aca="false">IF(F63="","",F63/$B$5)</f>
        <v/>
      </c>
      <c r="H63" s="35" t="str">
        <f aca="false">IF(G63="","",SUM($G$34:G63))</f>
        <v/>
      </c>
      <c r="I63" s="34"/>
    </row>
    <row r="64" customFormat="false" ht="15" hidden="false" customHeight="false" outlineLevel="0" collapsed="false">
      <c r="A64" s="33"/>
      <c r="B64" s="34"/>
      <c r="C64" s="34"/>
      <c r="D64" s="27"/>
      <c r="E64" s="27"/>
      <c r="F64" s="35" t="str">
        <f aca="false">IF(OR(D64="",E64=""),"",IFERROR((D64*INDEX($C$14:$C$16,MATCH(B64,$A$14:$A$16,0))+E64*INDEX($D$14:$D$16,MATCH(B64,$A$14:$A$16,0)))/1000000,""))</f>
        <v/>
      </c>
      <c r="G64" s="35" t="str">
        <f aca="false">IF(F64="","",F64/$B$5)</f>
        <v/>
      </c>
      <c r="H64" s="35" t="str">
        <f aca="false">IF(G64="","",SUM($G$34:G64))</f>
        <v/>
      </c>
      <c r="I64" s="34"/>
    </row>
    <row r="65" customFormat="false" ht="15" hidden="false" customHeight="false" outlineLevel="0" collapsed="false">
      <c r="A65" s="33"/>
      <c r="B65" s="34"/>
      <c r="C65" s="34"/>
      <c r="D65" s="27"/>
      <c r="E65" s="27"/>
      <c r="F65" s="35" t="str">
        <f aca="false">IF(OR(D65="",E65=""),"",IFERROR((D65*INDEX($C$14:$C$16,MATCH(B65,$A$14:$A$16,0))+E65*INDEX($D$14:$D$16,MATCH(B65,$A$14:$A$16,0)))/1000000,""))</f>
        <v/>
      </c>
      <c r="G65" s="35" t="str">
        <f aca="false">IF(F65="","",F65/$B$5)</f>
        <v/>
      </c>
      <c r="H65" s="35" t="str">
        <f aca="false">IF(G65="","",SUM($G$34:G65))</f>
        <v/>
      </c>
      <c r="I65" s="34"/>
    </row>
    <row r="66" customFormat="false" ht="15" hidden="false" customHeight="false" outlineLevel="0" collapsed="false">
      <c r="A66" s="33"/>
      <c r="B66" s="34"/>
      <c r="C66" s="34"/>
      <c r="D66" s="27"/>
      <c r="E66" s="27"/>
      <c r="F66" s="35" t="str">
        <f aca="false">IF(OR(D66="",E66=""),"",IFERROR((D66*INDEX($C$14:$C$16,MATCH(B66,$A$14:$A$16,0))+E66*INDEX($D$14:$D$16,MATCH(B66,$A$14:$A$16,0)))/1000000,""))</f>
        <v/>
      </c>
      <c r="G66" s="35" t="str">
        <f aca="false">IF(F66="","",F66/$B$5)</f>
        <v/>
      </c>
      <c r="H66" s="35" t="str">
        <f aca="false">IF(G66="","",SUM($G$34:G66))</f>
        <v/>
      </c>
      <c r="I66" s="34"/>
    </row>
    <row r="67" customFormat="false" ht="15" hidden="false" customHeight="false" outlineLevel="0" collapsed="false">
      <c r="A67" s="33"/>
      <c r="B67" s="34"/>
      <c r="C67" s="34"/>
      <c r="D67" s="27"/>
      <c r="E67" s="27"/>
      <c r="F67" s="35" t="str">
        <f aca="false">IF(OR(D67="",E67=""),"",IFERROR((D67*INDEX($C$14:$C$16,MATCH(B67,$A$14:$A$16,0))+E67*INDEX($D$14:$D$16,MATCH(B67,$A$14:$A$16,0)))/1000000,""))</f>
        <v/>
      </c>
      <c r="G67" s="35" t="str">
        <f aca="false">IF(F67="","",F67/$B$5)</f>
        <v/>
      </c>
      <c r="H67" s="35" t="str">
        <f aca="false">IF(G67="","",SUM($G$34:G67))</f>
        <v/>
      </c>
      <c r="I67" s="34"/>
    </row>
    <row r="68" customFormat="false" ht="15" hidden="false" customHeight="false" outlineLevel="0" collapsed="false">
      <c r="A68" s="33"/>
      <c r="B68" s="34"/>
      <c r="C68" s="34"/>
      <c r="D68" s="27"/>
      <c r="E68" s="27"/>
      <c r="F68" s="35" t="str">
        <f aca="false">IF(OR(D68="",E68=""),"",IFERROR((D68*INDEX($C$14:$C$16,MATCH(B68,$A$14:$A$16,0))+E68*INDEX($D$14:$D$16,MATCH(B68,$A$14:$A$16,0)))/1000000,""))</f>
        <v/>
      </c>
      <c r="G68" s="35" t="str">
        <f aca="false">IF(F68="","",F68/$B$5)</f>
        <v/>
      </c>
      <c r="H68" s="35" t="str">
        <f aca="false">IF(G68="","",SUM($G$34:G68))</f>
        <v/>
      </c>
      <c r="I68" s="34"/>
    </row>
    <row r="69" customFormat="false" ht="15" hidden="false" customHeight="false" outlineLevel="0" collapsed="false">
      <c r="A69" s="33"/>
      <c r="B69" s="34"/>
      <c r="C69" s="34"/>
      <c r="D69" s="27"/>
      <c r="E69" s="27"/>
      <c r="F69" s="35" t="str">
        <f aca="false">IF(OR(D69="",E69=""),"",IFERROR((D69*INDEX($C$14:$C$16,MATCH(B69,$A$14:$A$16,0))+E69*INDEX($D$14:$D$16,MATCH(B69,$A$14:$A$16,0)))/1000000,""))</f>
        <v/>
      </c>
      <c r="G69" s="35" t="str">
        <f aca="false">IF(F69="","",F69/$B$5)</f>
        <v/>
      </c>
      <c r="H69" s="35" t="str">
        <f aca="false">IF(G69="","",SUM($G$34:G69))</f>
        <v/>
      </c>
      <c r="I69" s="34"/>
    </row>
    <row r="70" customFormat="false" ht="15" hidden="false" customHeight="false" outlineLevel="0" collapsed="false">
      <c r="A70" s="33"/>
      <c r="B70" s="34"/>
      <c r="C70" s="34"/>
      <c r="D70" s="27"/>
      <c r="E70" s="27"/>
      <c r="F70" s="35" t="str">
        <f aca="false">IF(OR(D70="",E70=""),"",IFERROR((D70*INDEX($C$14:$C$16,MATCH(B70,$A$14:$A$16,0))+E70*INDEX($D$14:$D$16,MATCH(B70,$A$14:$A$16,0)))/1000000,""))</f>
        <v/>
      </c>
      <c r="G70" s="35" t="str">
        <f aca="false">IF(F70="","",F70/$B$5)</f>
        <v/>
      </c>
      <c r="H70" s="35" t="str">
        <f aca="false">IF(G70="","",SUM($G$34:G70))</f>
        <v/>
      </c>
      <c r="I70" s="34"/>
    </row>
    <row r="71" customFormat="false" ht="15" hidden="false" customHeight="false" outlineLevel="0" collapsed="false">
      <c r="A71" s="33"/>
      <c r="B71" s="34"/>
      <c r="C71" s="34"/>
      <c r="D71" s="27"/>
      <c r="E71" s="27"/>
      <c r="F71" s="35" t="str">
        <f aca="false">IF(OR(D71="",E71=""),"",IFERROR((D71*INDEX($C$14:$C$16,MATCH(B71,$A$14:$A$16,0))+E71*INDEX($D$14:$D$16,MATCH(B71,$A$14:$A$16,0)))/1000000,""))</f>
        <v/>
      </c>
      <c r="G71" s="35" t="str">
        <f aca="false">IF(F71="","",F71/$B$5)</f>
        <v/>
      </c>
      <c r="H71" s="35" t="str">
        <f aca="false">IF(G71="","",SUM($G$34:G71))</f>
        <v/>
      </c>
      <c r="I71" s="34"/>
    </row>
    <row r="72" customFormat="false" ht="15" hidden="false" customHeight="false" outlineLevel="0" collapsed="false">
      <c r="A72" s="33"/>
      <c r="B72" s="34"/>
      <c r="C72" s="34"/>
      <c r="D72" s="27"/>
      <c r="E72" s="27"/>
      <c r="F72" s="35" t="str">
        <f aca="false">IF(OR(D72="",E72=""),"",IFERROR((D72*INDEX($C$14:$C$16,MATCH(B72,$A$14:$A$16,0))+E72*INDEX($D$14:$D$16,MATCH(B72,$A$14:$A$16,0)))/1000000,""))</f>
        <v/>
      </c>
      <c r="G72" s="35" t="str">
        <f aca="false">IF(F72="","",F72/$B$5)</f>
        <v/>
      </c>
      <c r="H72" s="35" t="str">
        <f aca="false">IF(G72="","",SUM($G$34:G72))</f>
        <v/>
      </c>
      <c r="I72" s="34"/>
    </row>
    <row r="73" customFormat="false" ht="15" hidden="false" customHeight="false" outlineLevel="0" collapsed="false">
      <c r="A73" s="33"/>
      <c r="B73" s="34"/>
      <c r="C73" s="34"/>
      <c r="D73" s="27"/>
      <c r="E73" s="27"/>
      <c r="F73" s="35" t="str">
        <f aca="false">IF(OR(D73="",E73=""),"",IFERROR((D73*INDEX($C$14:$C$16,MATCH(B73,$A$14:$A$16,0))+E73*INDEX($D$14:$D$16,MATCH(B73,$A$14:$A$16,0)))/1000000,""))</f>
        <v/>
      </c>
      <c r="G73" s="35" t="str">
        <f aca="false">IF(F73="","",F73/$B$5)</f>
        <v/>
      </c>
      <c r="H73" s="35" t="str">
        <f aca="false">IF(G73="","",SUM($G$34:G73))</f>
        <v/>
      </c>
      <c r="I73" s="34"/>
    </row>
    <row r="74" customFormat="false" ht="15" hidden="false" customHeight="false" outlineLevel="0" collapsed="false">
      <c r="A74" s="33"/>
      <c r="B74" s="34"/>
      <c r="C74" s="34"/>
      <c r="D74" s="27"/>
      <c r="E74" s="27"/>
      <c r="F74" s="35" t="str">
        <f aca="false">IF(OR(D74="",E74=""),"",IFERROR((D74*INDEX($C$14:$C$16,MATCH(B74,$A$14:$A$16,0))+E74*INDEX($D$14:$D$16,MATCH(B74,$A$14:$A$16,0)))/1000000,""))</f>
        <v/>
      </c>
      <c r="G74" s="35" t="str">
        <f aca="false">IF(F74="","",F74/$B$5)</f>
        <v/>
      </c>
      <c r="H74" s="35" t="str">
        <f aca="false">IF(G74="","",SUM($G$34:G74))</f>
        <v/>
      </c>
      <c r="I74" s="34"/>
    </row>
    <row r="75" customFormat="false" ht="15" hidden="false" customHeight="false" outlineLevel="0" collapsed="false">
      <c r="A75" s="33"/>
      <c r="B75" s="34"/>
      <c r="C75" s="34"/>
      <c r="D75" s="27"/>
      <c r="E75" s="27"/>
      <c r="F75" s="35" t="str">
        <f aca="false">IF(OR(D75="",E75=""),"",IFERROR((D75*INDEX($C$14:$C$16,MATCH(B75,$A$14:$A$16,0))+E75*INDEX($D$14:$D$16,MATCH(B75,$A$14:$A$16,0)))/1000000,""))</f>
        <v/>
      </c>
      <c r="G75" s="35" t="str">
        <f aca="false">IF(F75="","",F75/$B$5)</f>
        <v/>
      </c>
      <c r="H75" s="35" t="str">
        <f aca="false">IF(G75="","",SUM($G$34:G75))</f>
        <v/>
      </c>
      <c r="I75" s="34"/>
    </row>
    <row r="76" customFormat="false" ht="15" hidden="false" customHeight="false" outlineLevel="0" collapsed="false">
      <c r="A76" s="33"/>
      <c r="B76" s="34"/>
      <c r="C76" s="34"/>
      <c r="D76" s="27"/>
      <c r="E76" s="27"/>
      <c r="F76" s="35" t="str">
        <f aca="false">IF(OR(D76="",E76=""),"",IFERROR((D76*INDEX($C$14:$C$16,MATCH(B76,$A$14:$A$16,0))+E76*INDEX($D$14:$D$16,MATCH(B76,$A$14:$A$16,0)))/1000000,""))</f>
        <v/>
      </c>
      <c r="G76" s="35" t="str">
        <f aca="false">IF(F76="","",F76/$B$5)</f>
        <v/>
      </c>
      <c r="H76" s="35" t="str">
        <f aca="false">IF(G76="","",SUM($G$34:G76))</f>
        <v/>
      </c>
      <c r="I76" s="34"/>
    </row>
    <row r="77" customFormat="false" ht="15" hidden="false" customHeight="false" outlineLevel="0" collapsed="false">
      <c r="A77" s="33"/>
      <c r="B77" s="34"/>
      <c r="C77" s="34"/>
      <c r="D77" s="27"/>
      <c r="E77" s="27"/>
      <c r="F77" s="35" t="str">
        <f aca="false">IF(OR(D77="",E77=""),"",IFERROR((D77*INDEX($C$14:$C$16,MATCH(B77,$A$14:$A$16,0))+E77*INDEX($D$14:$D$16,MATCH(B77,$A$14:$A$16,0)))/1000000,""))</f>
        <v/>
      </c>
      <c r="G77" s="35" t="str">
        <f aca="false">IF(F77="","",F77/$B$5)</f>
        <v/>
      </c>
      <c r="H77" s="35" t="str">
        <f aca="false">IF(G77="","",SUM($G$34:G77))</f>
        <v/>
      </c>
      <c r="I77" s="34"/>
    </row>
    <row r="78" customFormat="false" ht="15" hidden="false" customHeight="false" outlineLevel="0" collapsed="false">
      <c r="A78" s="33"/>
      <c r="B78" s="34"/>
      <c r="C78" s="34"/>
      <c r="D78" s="27"/>
      <c r="E78" s="27"/>
      <c r="F78" s="35" t="str">
        <f aca="false">IF(OR(D78="",E78=""),"",IFERROR((D78*INDEX($C$14:$C$16,MATCH(B78,$A$14:$A$16,0))+E78*INDEX($D$14:$D$16,MATCH(B78,$A$14:$A$16,0)))/1000000,""))</f>
        <v/>
      </c>
      <c r="G78" s="35" t="str">
        <f aca="false">IF(F78="","",F78/$B$5)</f>
        <v/>
      </c>
      <c r="H78" s="35" t="str">
        <f aca="false">IF(G78="","",SUM($G$34:G78))</f>
        <v/>
      </c>
      <c r="I78" s="34"/>
    </row>
    <row r="79" customFormat="false" ht="15" hidden="false" customHeight="false" outlineLevel="0" collapsed="false">
      <c r="A79" s="33"/>
      <c r="B79" s="34"/>
      <c r="C79" s="34"/>
      <c r="D79" s="27"/>
      <c r="E79" s="27"/>
      <c r="F79" s="35" t="str">
        <f aca="false">IF(OR(D79="",E79=""),"",IFERROR((D79*INDEX($C$14:$C$16,MATCH(B79,$A$14:$A$16,0))+E79*INDEX($D$14:$D$16,MATCH(B79,$A$14:$A$16,0)))/1000000,""))</f>
        <v/>
      </c>
      <c r="G79" s="35" t="str">
        <f aca="false">IF(F79="","",F79/$B$5)</f>
        <v/>
      </c>
      <c r="H79" s="35" t="str">
        <f aca="false">IF(G79="","",SUM($G$34:G79))</f>
        <v/>
      </c>
      <c r="I79" s="34"/>
    </row>
    <row r="80" customFormat="false" ht="15" hidden="false" customHeight="false" outlineLevel="0" collapsed="false">
      <c r="A80" s="33"/>
      <c r="B80" s="34"/>
      <c r="C80" s="34"/>
      <c r="D80" s="27"/>
      <c r="E80" s="27"/>
      <c r="F80" s="35" t="str">
        <f aca="false">IF(OR(D80="",E80=""),"",IFERROR((D80*INDEX($C$14:$C$16,MATCH(B80,$A$14:$A$16,0))+E80*INDEX($D$14:$D$16,MATCH(B80,$A$14:$A$16,0)))/1000000,""))</f>
        <v/>
      </c>
      <c r="G80" s="35" t="str">
        <f aca="false">IF(F80="","",F80/$B$5)</f>
        <v/>
      </c>
      <c r="H80" s="35" t="str">
        <f aca="false">IF(G80="","",SUM($G$34:G80))</f>
        <v/>
      </c>
      <c r="I80" s="34"/>
    </row>
    <row r="81" customFormat="false" ht="15" hidden="false" customHeight="false" outlineLevel="0" collapsed="false">
      <c r="A81" s="33"/>
      <c r="B81" s="34"/>
      <c r="C81" s="34"/>
      <c r="D81" s="27"/>
      <c r="E81" s="27"/>
      <c r="F81" s="35" t="str">
        <f aca="false">IF(OR(D81="",E81=""),"",IFERROR((D81*INDEX($C$14:$C$16,MATCH(B81,$A$14:$A$16,0))+E81*INDEX($D$14:$D$16,MATCH(B81,$A$14:$A$16,0)))/1000000,""))</f>
        <v/>
      </c>
      <c r="G81" s="35" t="str">
        <f aca="false">IF(F81="","",F81/$B$5)</f>
        <v/>
      </c>
      <c r="H81" s="35" t="str">
        <f aca="false">IF(G81="","",SUM($G$34:G81))</f>
        <v/>
      </c>
      <c r="I81" s="34"/>
    </row>
    <row r="82" customFormat="false" ht="15" hidden="false" customHeight="false" outlineLevel="0" collapsed="false">
      <c r="A82" s="33"/>
      <c r="B82" s="34"/>
      <c r="C82" s="34"/>
      <c r="D82" s="27"/>
      <c r="E82" s="27"/>
      <c r="F82" s="35" t="str">
        <f aca="false">IF(OR(D82="",E82=""),"",IFERROR((D82*INDEX($C$14:$C$16,MATCH(B82,$A$14:$A$16,0))+E82*INDEX($D$14:$D$16,MATCH(B82,$A$14:$A$16,0)))/1000000,""))</f>
        <v/>
      </c>
      <c r="G82" s="35" t="str">
        <f aca="false">IF(F82="","",F82/$B$5)</f>
        <v/>
      </c>
      <c r="H82" s="35" t="str">
        <f aca="false">IF(G82="","",SUM($G$34:G82))</f>
        <v/>
      </c>
      <c r="I82" s="34"/>
    </row>
    <row r="83" customFormat="false" ht="15" hidden="false" customHeight="false" outlineLevel="0" collapsed="false">
      <c r="A83" s="33"/>
      <c r="B83" s="34"/>
      <c r="C83" s="34"/>
      <c r="D83" s="27"/>
      <c r="E83" s="27"/>
      <c r="F83" s="35" t="str">
        <f aca="false">IF(OR(D83="",E83=""),"",IFERROR((D83*INDEX($C$14:$C$16,MATCH(B83,$A$14:$A$16,0))+E83*INDEX($D$14:$D$16,MATCH(B83,$A$14:$A$16,0)))/1000000,""))</f>
        <v/>
      </c>
      <c r="G83" s="35" t="str">
        <f aca="false">IF(F83="","",F83/$B$5)</f>
        <v/>
      </c>
      <c r="H83" s="35" t="str">
        <f aca="false">IF(G83="","",SUM($G$34:G83))</f>
        <v/>
      </c>
      <c r="I83" s="34"/>
    </row>
    <row r="84" customFormat="false" ht="15" hidden="false" customHeight="false" outlineLevel="0" collapsed="false">
      <c r="A84" s="33"/>
      <c r="B84" s="34"/>
      <c r="C84" s="34"/>
      <c r="D84" s="27"/>
      <c r="E84" s="27"/>
      <c r="F84" s="35" t="str">
        <f aca="false">IF(OR(D84="",E84=""),"",IFERROR((D84*INDEX($C$14:$C$16,MATCH(B84,$A$14:$A$16,0))+E84*INDEX($D$14:$D$16,MATCH(B84,$A$14:$A$16,0)))/1000000,""))</f>
        <v/>
      </c>
      <c r="G84" s="35" t="str">
        <f aca="false">IF(F84="","",F84/$B$5)</f>
        <v/>
      </c>
      <c r="H84" s="35" t="str">
        <f aca="false">IF(G84="","",SUM($G$34:G84))</f>
        <v/>
      </c>
      <c r="I84" s="34"/>
    </row>
    <row r="85" customFormat="false" ht="15" hidden="false" customHeight="false" outlineLevel="0" collapsed="false">
      <c r="A85" s="33"/>
      <c r="B85" s="34"/>
      <c r="C85" s="34"/>
      <c r="D85" s="27"/>
      <c r="E85" s="27"/>
      <c r="F85" s="35" t="str">
        <f aca="false">IF(OR(D85="",E85=""),"",IFERROR((D85*INDEX($C$14:$C$16,MATCH(B85,$A$14:$A$16,0))+E85*INDEX($D$14:$D$16,MATCH(B85,$A$14:$A$16,0)))/1000000,""))</f>
        <v/>
      </c>
      <c r="G85" s="35" t="str">
        <f aca="false">IF(F85="","",F85/$B$5)</f>
        <v/>
      </c>
      <c r="H85" s="35" t="str">
        <f aca="false">IF(G85="","",SUM($G$34:G85))</f>
        <v/>
      </c>
      <c r="I85" s="34"/>
    </row>
    <row r="86" customFormat="false" ht="15" hidden="false" customHeight="false" outlineLevel="0" collapsed="false">
      <c r="A86" s="33"/>
      <c r="B86" s="34"/>
      <c r="C86" s="34"/>
      <c r="D86" s="27"/>
      <c r="E86" s="27"/>
      <c r="F86" s="35" t="str">
        <f aca="false">IF(OR(D86="",E86=""),"",IFERROR((D86*INDEX($C$14:$C$16,MATCH(B86,$A$14:$A$16,0))+E86*INDEX($D$14:$D$16,MATCH(B86,$A$14:$A$16,0)))/1000000,""))</f>
        <v/>
      </c>
      <c r="G86" s="35" t="str">
        <f aca="false">IF(F86="","",F86/$B$5)</f>
        <v/>
      </c>
      <c r="H86" s="35" t="str">
        <f aca="false">IF(G86="","",SUM($G$34:G86))</f>
        <v/>
      </c>
      <c r="I86" s="34"/>
    </row>
    <row r="87" customFormat="false" ht="15" hidden="false" customHeight="false" outlineLevel="0" collapsed="false">
      <c r="A87" s="33"/>
      <c r="B87" s="34"/>
      <c r="C87" s="34"/>
      <c r="D87" s="27"/>
      <c r="E87" s="27"/>
      <c r="F87" s="35" t="str">
        <f aca="false">IF(OR(D87="",E87=""),"",IFERROR((D87*INDEX($C$14:$C$16,MATCH(B87,$A$14:$A$16,0))+E87*INDEX($D$14:$D$16,MATCH(B87,$A$14:$A$16,0)))/1000000,""))</f>
        <v/>
      </c>
      <c r="G87" s="35" t="str">
        <f aca="false">IF(F87="","",F87/$B$5)</f>
        <v/>
      </c>
      <c r="H87" s="35" t="str">
        <f aca="false">IF(G87="","",SUM($G$34:G87))</f>
        <v/>
      </c>
      <c r="I87" s="34"/>
    </row>
    <row r="88" customFormat="false" ht="15" hidden="false" customHeight="false" outlineLevel="0" collapsed="false">
      <c r="A88" s="33"/>
      <c r="B88" s="34"/>
      <c r="C88" s="34"/>
      <c r="D88" s="27"/>
      <c r="E88" s="27"/>
      <c r="F88" s="35" t="str">
        <f aca="false">IF(OR(D88="",E88=""),"",IFERROR((D88*INDEX($C$14:$C$16,MATCH(B88,$A$14:$A$16,0))+E88*INDEX($D$14:$D$16,MATCH(B88,$A$14:$A$16,0)))/1000000,""))</f>
        <v/>
      </c>
      <c r="G88" s="35" t="str">
        <f aca="false">IF(F88="","",F88/$B$5)</f>
        <v/>
      </c>
      <c r="H88" s="35" t="str">
        <f aca="false">IF(G88="","",SUM($G$34:G88))</f>
        <v/>
      </c>
      <c r="I88" s="34"/>
    </row>
    <row r="89" customFormat="false" ht="15" hidden="false" customHeight="false" outlineLevel="0" collapsed="false">
      <c r="A89" s="33"/>
      <c r="B89" s="34"/>
      <c r="C89" s="34"/>
      <c r="D89" s="27"/>
      <c r="E89" s="27"/>
      <c r="F89" s="35" t="str">
        <f aca="false">IF(OR(D89="",E89=""),"",IFERROR((D89*INDEX($C$14:$C$16,MATCH(B89,$A$14:$A$16,0))+E89*INDEX($D$14:$D$16,MATCH(B89,$A$14:$A$16,0)))/1000000,""))</f>
        <v/>
      </c>
      <c r="G89" s="35" t="str">
        <f aca="false">IF(F89="","",F89/$B$5)</f>
        <v/>
      </c>
      <c r="H89" s="35" t="str">
        <f aca="false">IF(G89="","",SUM($G$34:G89))</f>
        <v/>
      </c>
      <c r="I89" s="34"/>
    </row>
    <row r="90" customFormat="false" ht="15" hidden="false" customHeight="false" outlineLevel="0" collapsed="false">
      <c r="A90" s="33"/>
      <c r="B90" s="34"/>
      <c r="C90" s="34"/>
      <c r="D90" s="27"/>
      <c r="E90" s="27"/>
      <c r="F90" s="35" t="str">
        <f aca="false">IF(OR(D90="",E90=""),"",IFERROR((D90*INDEX($C$14:$C$16,MATCH(B90,$A$14:$A$16,0))+E90*INDEX($D$14:$D$16,MATCH(B90,$A$14:$A$16,0)))/1000000,""))</f>
        <v/>
      </c>
      <c r="G90" s="35" t="str">
        <f aca="false">IF(F90="","",F90/$B$5)</f>
        <v/>
      </c>
      <c r="H90" s="35" t="str">
        <f aca="false">IF(G90="","",SUM($G$34:G90))</f>
        <v/>
      </c>
      <c r="I90" s="34"/>
    </row>
    <row r="91" customFormat="false" ht="15" hidden="false" customHeight="false" outlineLevel="0" collapsed="false">
      <c r="A91" s="33"/>
      <c r="B91" s="34"/>
      <c r="C91" s="34"/>
      <c r="D91" s="27"/>
      <c r="E91" s="27"/>
      <c r="F91" s="35" t="str">
        <f aca="false">IF(OR(D91="",E91=""),"",IFERROR((D91*INDEX($C$14:$C$16,MATCH(B91,$A$14:$A$16,0))+E91*INDEX($D$14:$D$16,MATCH(B91,$A$14:$A$16,0)))/1000000,""))</f>
        <v/>
      </c>
      <c r="G91" s="35" t="str">
        <f aca="false">IF(F91="","",F91/$B$5)</f>
        <v/>
      </c>
      <c r="H91" s="35" t="str">
        <f aca="false">IF(G91="","",SUM($G$34:G91))</f>
        <v/>
      </c>
      <c r="I91" s="34"/>
    </row>
    <row r="92" customFormat="false" ht="15" hidden="false" customHeight="false" outlineLevel="0" collapsed="false">
      <c r="A92" s="33"/>
      <c r="B92" s="34"/>
      <c r="C92" s="34"/>
      <c r="D92" s="27"/>
      <c r="E92" s="27"/>
      <c r="F92" s="35" t="str">
        <f aca="false">IF(OR(D92="",E92=""),"",IFERROR((D92*INDEX($C$14:$C$16,MATCH(B92,$A$14:$A$16,0))+E92*INDEX($D$14:$D$16,MATCH(B92,$A$14:$A$16,0)))/1000000,""))</f>
        <v/>
      </c>
      <c r="G92" s="35" t="str">
        <f aca="false">IF(F92="","",F92/$B$5)</f>
        <v/>
      </c>
      <c r="H92" s="35" t="str">
        <f aca="false">IF(G92="","",SUM($G$34:G92))</f>
        <v/>
      </c>
      <c r="I92" s="34"/>
    </row>
    <row r="93" customFormat="false" ht="15" hidden="false" customHeight="false" outlineLevel="0" collapsed="false">
      <c r="A93" s="33"/>
      <c r="B93" s="34"/>
      <c r="C93" s="34"/>
      <c r="D93" s="27"/>
      <c r="E93" s="27"/>
      <c r="F93" s="35" t="str">
        <f aca="false">IF(OR(D93="",E93=""),"",IFERROR((D93*INDEX($C$14:$C$16,MATCH(B93,$A$14:$A$16,0))+E93*INDEX($D$14:$D$16,MATCH(B93,$A$14:$A$16,0)))/1000000,""))</f>
        <v/>
      </c>
      <c r="G93" s="35" t="str">
        <f aca="false">IF(F93="","",F93/$B$5)</f>
        <v/>
      </c>
      <c r="H93" s="35" t="str">
        <f aca="false">IF(G93="","",SUM($G$34:G93))</f>
        <v/>
      </c>
      <c r="I93" s="34"/>
    </row>
    <row r="94" customFormat="false" ht="15" hidden="false" customHeight="false" outlineLevel="0" collapsed="false">
      <c r="A94" s="33"/>
      <c r="B94" s="34"/>
      <c r="C94" s="34"/>
      <c r="D94" s="27"/>
      <c r="E94" s="27"/>
      <c r="F94" s="35" t="str">
        <f aca="false">IF(OR(D94="",E94=""),"",IFERROR((D94*INDEX($C$14:$C$16,MATCH(B94,$A$14:$A$16,0))+E94*INDEX($D$14:$D$16,MATCH(B94,$A$14:$A$16,0)))/1000000,""))</f>
        <v/>
      </c>
      <c r="G94" s="35" t="str">
        <f aca="false">IF(F94="","",F94/$B$5)</f>
        <v/>
      </c>
      <c r="H94" s="35" t="str">
        <f aca="false">IF(G94="","",SUM($G$34:G94))</f>
        <v/>
      </c>
      <c r="I94" s="34"/>
    </row>
    <row r="95" customFormat="false" ht="15" hidden="false" customHeight="false" outlineLevel="0" collapsed="false">
      <c r="A95" s="33"/>
      <c r="B95" s="34"/>
      <c r="C95" s="34"/>
      <c r="D95" s="27"/>
      <c r="E95" s="27"/>
      <c r="F95" s="35" t="str">
        <f aca="false">IF(OR(D95="",E95=""),"",IFERROR((D95*INDEX($C$14:$C$16,MATCH(B95,$A$14:$A$16,0))+E95*INDEX($D$14:$D$16,MATCH(B95,$A$14:$A$16,0)))/1000000,""))</f>
        <v/>
      </c>
      <c r="G95" s="35" t="str">
        <f aca="false">IF(F95="","",F95/$B$5)</f>
        <v/>
      </c>
      <c r="H95" s="35" t="str">
        <f aca="false">IF(G95="","",SUM($G$34:G95))</f>
        <v/>
      </c>
      <c r="I95" s="34"/>
    </row>
    <row r="96" customFormat="false" ht="15" hidden="false" customHeight="false" outlineLevel="0" collapsed="false">
      <c r="A96" s="33"/>
      <c r="B96" s="34"/>
      <c r="C96" s="34"/>
      <c r="D96" s="27"/>
      <c r="E96" s="27"/>
      <c r="F96" s="35" t="str">
        <f aca="false">IF(OR(D96="",E96=""),"",IFERROR((D96*INDEX($C$14:$C$16,MATCH(B96,$A$14:$A$16,0))+E96*INDEX($D$14:$D$16,MATCH(B96,$A$14:$A$16,0)))/1000000,""))</f>
        <v/>
      </c>
      <c r="G96" s="35" t="str">
        <f aca="false">IF(F96="","",F96/$B$5)</f>
        <v/>
      </c>
      <c r="H96" s="35" t="str">
        <f aca="false">IF(G96="","",SUM($G$34:G96))</f>
        <v/>
      </c>
      <c r="I96" s="34"/>
    </row>
    <row r="97" customFormat="false" ht="15" hidden="false" customHeight="false" outlineLevel="0" collapsed="false">
      <c r="A97" s="33"/>
      <c r="B97" s="34"/>
      <c r="C97" s="34"/>
      <c r="D97" s="27"/>
      <c r="E97" s="27"/>
      <c r="F97" s="35" t="str">
        <f aca="false">IF(OR(D97="",E97=""),"",IFERROR((D97*INDEX($C$14:$C$16,MATCH(B97,$A$14:$A$16,0))+E97*INDEX($D$14:$D$16,MATCH(B97,$A$14:$A$16,0)))/1000000,""))</f>
        <v/>
      </c>
      <c r="G97" s="35" t="str">
        <f aca="false">IF(F97="","",F97/$B$5)</f>
        <v/>
      </c>
      <c r="H97" s="35" t="str">
        <f aca="false">IF(G97="","",SUM($G$34:G97))</f>
        <v/>
      </c>
      <c r="I97" s="34"/>
    </row>
    <row r="98" customFormat="false" ht="15" hidden="false" customHeight="false" outlineLevel="0" collapsed="false">
      <c r="A98" s="33"/>
      <c r="B98" s="34"/>
      <c r="C98" s="34"/>
      <c r="D98" s="27"/>
      <c r="E98" s="27"/>
      <c r="F98" s="35" t="str">
        <f aca="false">IF(OR(D98="",E98=""),"",IFERROR((D98*INDEX($C$14:$C$16,MATCH(B98,$A$14:$A$16,0))+E98*INDEX($D$14:$D$16,MATCH(B98,$A$14:$A$16,0)))/1000000,""))</f>
        <v/>
      </c>
      <c r="G98" s="35" t="str">
        <f aca="false">IF(F98="","",F98/$B$5)</f>
        <v/>
      </c>
      <c r="H98" s="35" t="str">
        <f aca="false">IF(G98="","",SUM($G$34:G98))</f>
        <v/>
      </c>
      <c r="I98" s="34"/>
    </row>
    <row r="99" customFormat="false" ht="15" hidden="false" customHeight="false" outlineLevel="0" collapsed="false">
      <c r="A99" s="33"/>
      <c r="B99" s="34"/>
      <c r="C99" s="34"/>
      <c r="D99" s="27"/>
      <c r="E99" s="27"/>
      <c r="F99" s="35" t="str">
        <f aca="false">IF(OR(D99="",E99=""),"",IFERROR((D99*INDEX($C$14:$C$16,MATCH(B99,$A$14:$A$16,0))+E99*INDEX($D$14:$D$16,MATCH(B99,$A$14:$A$16,0)))/1000000,""))</f>
        <v/>
      </c>
      <c r="G99" s="35" t="str">
        <f aca="false">IF(F99="","",F99/$B$5)</f>
        <v/>
      </c>
      <c r="H99" s="35" t="str">
        <f aca="false">IF(G99="","",SUM($G$34:G99))</f>
        <v/>
      </c>
      <c r="I99" s="34"/>
    </row>
    <row r="100" customFormat="false" ht="15" hidden="false" customHeight="false" outlineLevel="0" collapsed="false">
      <c r="A100" s="33"/>
      <c r="B100" s="34"/>
      <c r="C100" s="34"/>
      <c r="D100" s="27"/>
      <c r="E100" s="27"/>
      <c r="F100" s="35" t="str">
        <f aca="false">IF(OR(D100="",E100=""),"",IFERROR((D100*INDEX($C$14:$C$16,MATCH(B100,$A$14:$A$16,0))+E100*INDEX($D$14:$D$16,MATCH(B100,$A$14:$A$16,0)))/1000000,""))</f>
        <v/>
      </c>
      <c r="G100" s="35" t="str">
        <f aca="false">IF(F100="","",F100/$B$5)</f>
        <v/>
      </c>
      <c r="H100" s="35" t="str">
        <f aca="false">IF(G100="","",SUM($G$34:G100))</f>
        <v/>
      </c>
      <c r="I100" s="34"/>
    </row>
    <row r="101" customFormat="false" ht="15" hidden="false" customHeight="false" outlineLevel="0" collapsed="false">
      <c r="A101" s="33"/>
      <c r="B101" s="34"/>
      <c r="C101" s="34"/>
      <c r="D101" s="27"/>
      <c r="E101" s="27"/>
      <c r="F101" s="35" t="str">
        <f aca="false">IF(OR(D101="",E101=""),"",IFERROR((D101*INDEX($C$14:$C$16,MATCH(B101,$A$14:$A$16,0))+E101*INDEX($D$14:$D$16,MATCH(B101,$A$14:$A$16,0)))/1000000,""))</f>
        <v/>
      </c>
      <c r="G101" s="35" t="str">
        <f aca="false">IF(F101="","",F101/$B$5)</f>
        <v/>
      </c>
      <c r="H101" s="35" t="str">
        <f aca="false">IF(G101="","",SUM($G$34:G101))</f>
        <v/>
      </c>
      <c r="I101" s="34"/>
    </row>
    <row r="102" customFormat="false" ht="15" hidden="false" customHeight="false" outlineLevel="0" collapsed="false">
      <c r="A102" s="33"/>
      <c r="B102" s="34"/>
      <c r="C102" s="34"/>
      <c r="D102" s="27"/>
      <c r="E102" s="27"/>
      <c r="F102" s="35" t="str">
        <f aca="false">IF(OR(D102="",E102=""),"",IFERROR((D102*INDEX($C$14:$C$16,MATCH(B102,$A$14:$A$16,0))+E102*INDEX($D$14:$D$16,MATCH(B102,$A$14:$A$16,0)))/1000000,""))</f>
        <v/>
      </c>
      <c r="G102" s="35" t="str">
        <f aca="false">IF(F102="","",F102/$B$5)</f>
        <v/>
      </c>
      <c r="H102" s="35" t="str">
        <f aca="false">IF(G102="","",SUM($G$34:G102))</f>
        <v/>
      </c>
      <c r="I102" s="34"/>
    </row>
    <row r="103" customFormat="false" ht="15" hidden="false" customHeight="false" outlineLevel="0" collapsed="false">
      <c r="A103" s="33"/>
      <c r="B103" s="34"/>
      <c r="C103" s="34"/>
      <c r="D103" s="27"/>
      <c r="E103" s="27"/>
      <c r="F103" s="35" t="str">
        <f aca="false">IF(OR(D103="",E103=""),"",IFERROR((D103*INDEX($C$14:$C$16,MATCH(B103,$A$14:$A$16,0))+E103*INDEX($D$14:$D$16,MATCH(B103,$A$14:$A$16,0)))/1000000,""))</f>
        <v/>
      </c>
      <c r="G103" s="35" t="str">
        <f aca="false">IF(F103="","",F103/$B$5)</f>
        <v/>
      </c>
      <c r="H103" s="35" t="str">
        <f aca="false">IF(G103="","",SUM($G$34:G103))</f>
        <v/>
      </c>
      <c r="I103" s="34"/>
    </row>
    <row r="104" customFormat="false" ht="15" hidden="false" customHeight="false" outlineLevel="0" collapsed="false">
      <c r="A104" s="33"/>
      <c r="B104" s="34"/>
      <c r="C104" s="34"/>
      <c r="D104" s="27"/>
      <c r="E104" s="27"/>
      <c r="F104" s="35" t="str">
        <f aca="false">IF(OR(D104="",E104=""),"",IFERROR((D104*INDEX($C$14:$C$16,MATCH(B104,$A$14:$A$16,0))+E104*INDEX($D$14:$D$16,MATCH(B104,$A$14:$A$16,0)))/1000000,""))</f>
        <v/>
      </c>
      <c r="G104" s="35" t="str">
        <f aca="false">IF(F104="","",F104/$B$5)</f>
        <v/>
      </c>
      <c r="H104" s="35" t="str">
        <f aca="false">IF(G104="","",SUM($G$34:G104))</f>
        <v/>
      </c>
      <c r="I104" s="34"/>
    </row>
    <row r="105" customFormat="false" ht="15" hidden="false" customHeight="false" outlineLevel="0" collapsed="false">
      <c r="A105" s="33"/>
      <c r="B105" s="34"/>
      <c r="C105" s="34"/>
      <c r="D105" s="27"/>
      <c r="E105" s="27"/>
      <c r="F105" s="35" t="str">
        <f aca="false">IF(OR(D105="",E105=""),"",IFERROR((D105*INDEX($C$14:$C$16,MATCH(B105,$A$14:$A$16,0))+E105*INDEX($D$14:$D$16,MATCH(B105,$A$14:$A$16,0)))/1000000,""))</f>
        <v/>
      </c>
      <c r="G105" s="35" t="str">
        <f aca="false">IF(F105="","",F105/$B$5)</f>
        <v/>
      </c>
      <c r="H105" s="35" t="str">
        <f aca="false">IF(G105="","",SUM($G$34:G105))</f>
        <v/>
      </c>
      <c r="I105" s="34"/>
    </row>
    <row r="106" customFormat="false" ht="15" hidden="false" customHeight="false" outlineLevel="0" collapsed="false">
      <c r="A106" s="33"/>
      <c r="B106" s="34"/>
      <c r="C106" s="34"/>
      <c r="D106" s="27"/>
      <c r="E106" s="27"/>
      <c r="F106" s="35" t="str">
        <f aca="false">IF(OR(D106="",E106=""),"",IFERROR((D106*INDEX($C$14:$C$16,MATCH(B106,$A$14:$A$16,0))+E106*INDEX($D$14:$D$16,MATCH(B106,$A$14:$A$16,0)))/1000000,""))</f>
        <v/>
      </c>
      <c r="G106" s="35" t="str">
        <f aca="false">IF(F106="","",F106/$B$5)</f>
        <v/>
      </c>
      <c r="H106" s="35" t="str">
        <f aca="false">IF(G106="","",SUM($G$34:G106))</f>
        <v/>
      </c>
      <c r="I106" s="34"/>
    </row>
    <row r="107" customFormat="false" ht="15" hidden="false" customHeight="false" outlineLevel="0" collapsed="false">
      <c r="A107" s="33"/>
      <c r="B107" s="34"/>
      <c r="C107" s="34"/>
      <c r="D107" s="27"/>
      <c r="E107" s="27"/>
      <c r="F107" s="35" t="str">
        <f aca="false">IF(OR(D107="",E107=""),"",IFERROR((D107*INDEX($C$14:$C$16,MATCH(B107,$A$14:$A$16,0))+E107*INDEX($D$14:$D$16,MATCH(B107,$A$14:$A$16,0)))/1000000,""))</f>
        <v/>
      </c>
      <c r="G107" s="35" t="str">
        <f aca="false">IF(F107="","",F107/$B$5)</f>
        <v/>
      </c>
      <c r="H107" s="35" t="str">
        <f aca="false">IF(G107="","",SUM($G$34:G107))</f>
        <v/>
      </c>
      <c r="I107" s="34"/>
    </row>
    <row r="108" customFormat="false" ht="15" hidden="false" customHeight="false" outlineLevel="0" collapsed="false">
      <c r="A108" s="33"/>
      <c r="B108" s="34"/>
      <c r="C108" s="34"/>
      <c r="D108" s="27"/>
      <c r="E108" s="27"/>
      <c r="F108" s="35" t="str">
        <f aca="false">IF(OR(D108="",E108=""),"",IFERROR((D108*INDEX($C$14:$C$16,MATCH(B108,$A$14:$A$16,0))+E108*INDEX($D$14:$D$16,MATCH(B108,$A$14:$A$16,0)))/1000000,""))</f>
        <v/>
      </c>
      <c r="G108" s="35" t="str">
        <f aca="false">IF(F108="","",F108/$B$5)</f>
        <v/>
      </c>
      <c r="H108" s="35" t="str">
        <f aca="false">IF(G108="","",SUM($G$34:G108))</f>
        <v/>
      </c>
      <c r="I108" s="34"/>
    </row>
    <row r="109" customFormat="false" ht="15" hidden="false" customHeight="false" outlineLevel="0" collapsed="false">
      <c r="A109" s="33"/>
      <c r="B109" s="34"/>
      <c r="C109" s="34"/>
      <c r="D109" s="27"/>
      <c r="E109" s="27"/>
      <c r="F109" s="35" t="str">
        <f aca="false">IF(OR(D109="",E109=""),"",IFERROR((D109*INDEX($C$14:$C$16,MATCH(B109,$A$14:$A$16,0))+E109*INDEX($D$14:$D$16,MATCH(B109,$A$14:$A$16,0)))/1000000,""))</f>
        <v/>
      </c>
      <c r="G109" s="35" t="str">
        <f aca="false">IF(F109="","",F109/$B$5)</f>
        <v/>
      </c>
      <c r="H109" s="35" t="str">
        <f aca="false">IF(G109="","",SUM($G$34:G109))</f>
        <v/>
      </c>
      <c r="I109" s="34"/>
    </row>
    <row r="110" customFormat="false" ht="15" hidden="false" customHeight="false" outlineLevel="0" collapsed="false">
      <c r="A110" s="33"/>
      <c r="B110" s="34"/>
      <c r="C110" s="34"/>
      <c r="D110" s="27"/>
      <c r="E110" s="27"/>
      <c r="F110" s="35" t="str">
        <f aca="false">IF(OR(D110="",E110=""),"",IFERROR((D110*INDEX($C$14:$C$16,MATCH(B110,$A$14:$A$16,0))+E110*INDEX($D$14:$D$16,MATCH(B110,$A$14:$A$16,0)))/1000000,""))</f>
        <v/>
      </c>
      <c r="G110" s="35" t="str">
        <f aca="false">IF(F110="","",F110/$B$5)</f>
        <v/>
      </c>
      <c r="H110" s="35" t="str">
        <f aca="false">IF(G110="","",SUM($G$34:G110))</f>
        <v/>
      </c>
      <c r="I110" s="34"/>
    </row>
    <row r="111" customFormat="false" ht="15" hidden="false" customHeight="false" outlineLevel="0" collapsed="false">
      <c r="A111" s="33"/>
      <c r="B111" s="34"/>
      <c r="C111" s="34"/>
      <c r="D111" s="27"/>
      <c r="E111" s="27"/>
      <c r="F111" s="35" t="str">
        <f aca="false">IF(OR(D111="",E111=""),"",IFERROR((D111*INDEX($C$14:$C$16,MATCH(B111,$A$14:$A$16,0))+E111*INDEX($D$14:$D$16,MATCH(B111,$A$14:$A$16,0)))/1000000,""))</f>
        <v/>
      </c>
      <c r="G111" s="35" t="str">
        <f aca="false">IF(F111="","",F111/$B$5)</f>
        <v/>
      </c>
      <c r="H111" s="35" t="str">
        <f aca="false">IF(G111="","",SUM($G$34:G111))</f>
        <v/>
      </c>
      <c r="I111" s="34"/>
    </row>
    <row r="112" customFormat="false" ht="15" hidden="false" customHeight="false" outlineLevel="0" collapsed="false">
      <c r="A112" s="33"/>
      <c r="B112" s="34"/>
      <c r="C112" s="34"/>
      <c r="D112" s="27"/>
      <c r="E112" s="27"/>
      <c r="F112" s="35" t="str">
        <f aca="false">IF(OR(D112="",E112=""),"",IFERROR((D112*INDEX($C$14:$C$16,MATCH(B112,$A$14:$A$16,0))+E112*INDEX($D$14:$D$16,MATCH(B112,$A$14:$A$16,0)))/1000000,""))</f>
        <v/>
      </c>
      <c r="G112" s="35" t="str">
        <f aca="false">IF(F112="","",F112/$B$5)</f>
        <v/>
      </c>
      <c r="H112" s="35" t="str">
        <f aca="false">IF(G112="","",SUM($G$34:G112))</f>
        <v/>
      </c>
      <c r="I112" s="34"/>
    </row>
    <row r="113" customFormat="false" ht="15" hidden="false" customHeight="false" outlineLevel="0" collapsed="false">
      <c r="A113" s="33"/>
      <c r="B113" s="34"/>
      <c r="C113" s="34"/>
      <c r="D113" s="27"/>
      <c r="E113" s="27"/>
      <c r="F113" s="35" t="str">
        <f aca="false">IF(OR(D113="",E113=""),"",IFERROR((D113*INDEX($C$14:$C$16,MATCH(B113,$A$14:$A$16,0))+E113*INDEX($D$14:$D$16,MATCH(B113,$A$14:$A$16,0)))/1000000,""))</f>
        <v/>
      </c>
      <c r="G113" s="35" t="str">
        <f aca="false">IF(F113="","",F113/$B$5)</f>
        <v/>
      </c>
      <c r="H113" s="35" t="str">
        <f aca="false">IF(G113="","",SUM($G$34:G113))</f>
        <v/>
      </c>
      <c r="I113" s="34"/>
    </row>
    <row r="114" customFormat="false" ht="15" hidden="false" customHeight="false" outlineLevel="0" collapsed="false">
      <c r="A114" s="33"/>
      <c r="B114" s="34"/>
      <c r="C114" s="34"/>
      <c r="D114" s="27"/>
      <c r="E114" s="27"/>
      <c r="F114" s="35" t="str">
        <f aca="false">IF(OR(D114="",E114=""),"",IFERROR((D114*INDEX($C$14:$C$16,MATCH(B114,$A$14:$A$16,0))+E114*INDEX($D$14:$D$16,MATCH(B114,$A$14:$A$16,0)))/1000000,""))</f>
        <v/>
      </c>
      <c r="G114" s="35" t="str">
        <f aca="false">IF(F114="","",F114/$B$5)</f>
        <v/>
      </c>
      <c r="H114" s="35" t="str">
        <f aca="false">IF(G114="","",SUM($G$34:G114))</f>
        <v/>
      </c>
      <c r="I114" s="34"/>
    </row>
    <row r="115" customFormat="false" ht="15" hidden="false" customHeight="false" outlineLevel="0" collapsed="false">
      <c r="A115" s="33"/>
      <c r="B115" s="34"/>
      <c r="C115" s="34"/>
      <c r="D115" s="27"/>
      <c r="E115" s="27"/>
      <c r="F115" s="35" t="str">
        <f aca="false">IF(OR(D115="",E115=""),"",IFERROR((D115*INDEX($C$14:$C$16,MATCH(B115,$A$14:$A$16,0))+E115*INDEX($D$14:$D$16,MATCH(B115,$A$14:$A$16,0)))/1000000,""))</f>
        <v/>
      </c>
      <c r="G115" s="35" t="str">
        <f aca="false">IF(F115="","",F115/$B$5)</f>
        <v/>
      </c>
      <c r="H115" s="35" t="str">
        <f aca="false">IF(G115="","",SUM($G$34:G115))</f>
        <v/>
      </c>
      <c r="I115" s="34"/>
    </row>
    <row r="116" customFormat="false" ht="15" hidden="false" customHeight="false" outlineLevel="0" collapsed="false">
      <c r="A116" s="33"/>
      <c r="B116" s="34"/>
      <c r="C116" s="34"/>
      <c r="D116" s="27"/>
      <c r="E116" s="27"/>
      <c r="F116" s="35" t="str">
        <f aca="false">IF(OR(D116="",E116=""),"",IFERROR((D116*INDEX($C$14:$C$16,MATCH(B116,$A$14:$A$16,0))+E116*INDEX($D$14:$D$16,MATCH(B116,$A$14:$A$16,0)))/1000000,""))</f>
        <v/>
      </c>
      <c r="G116" s="35" t="str">
        <f aca="false">IF(F116="","",F116/$B$5)</f>
        <v/>
      </c>
      <c r="H116" s="35" t="str">
        <f aca="false">IF(G116="","",SUM($G$34:G116))</f>
        <v/>
      </c>
      <c r="I116" s="34"/>
    </row>
    <row r="117" customFormat="false" ht="15" hidden="false" customHeight="false" outlineLevel="0" collapsed="false">
      <c r="A117" s="33"/>
      <c r="B117" s="34"/>
      <c r="C117" s="34"/>
      <c r="D117" s="27"/>
      <c r="E117" s="27"/>
      <c r="F117" s="35" t="str">
        <f aca="false">IF(OR(D117="",E117=""),"",IFERROR((D117*INDEX($C$14:$C$16,MATCH(B117,$A$14:$A$16,0))+E117*INDEX($D$14:$D$16,MATCH(B117,$A$14:$A$16,0)))/1000000,""))</f>
        <v/>
      </c>
      <c r="G117" s="35" t="str">
        <f aca="false">IF(F117="","",F117/$B$5)</f>
        <v/>
      </c>
      <c r="H117" s="35" t="str">
        <f aca="false">IF(G117="","",SUM($G$34:G117))</f>
        <v/>
      </c>
      <c r="I117" s="34"/>
    </row>
    <row r="118" customFormat="false" ht="15" hidden="false" customHeight="false" outlineLevel="0" collapsed="false">
      <c r="A118" s="33"/>
      <c r="B118" s="34"/>
      <c r="C118" s="34"/>
      <c r="D118" s="27"/>
      <c r="E118" s="27"/>
      <c r="F118" s="35" t="str">
        <f aca="false">IF(OR(D118="",E118=""),"",IFERROR((D118*INDEX($C$14:$C$16,MATCH(B118,$A$14:$A$16,0))+E118*INDEX($D$14:$D$16,MATCH(B118,$A$14:$A$16,0)))/1000000,""))</f>
        <v/>
      </c>
      <c r="G118" s="35" t="str">
        <f aca="false">IF(F118="","",F118/$B$5)</f>
        <v/>
      </c>
      <c r="H118" s="35" t="str">
        <f aca="false">IF(G118="","",SUM($G$34:G118))</f>
        <v/>
      </c>
      <c r="I118" s="34"/>
    </row>
    <row r="119" customFormat="false" ht="15" hidden="false" customHeight="false" outlineLevel="0" collapsed="false">
      <c r="A119" s="33"/>
      <c r="B119" s="34"/>
      <c r="C119" s="34"/>
      <c r="D119" s="27"/>
      <c r="E119" s="27"/>
      <c r="F119" s="35" t="str">
        <f aca="false">IF(OR(D119="",E119=""),"",IFERROR((D119*INDEX($C$14:$C$16,MATCH(B119,$A$14:$A$16,0))+E119*INDEX($D$14:$D$16,MATCH(B119,$A$14:$A$16,0)))/1000000,""))</f>
        <v/>
      </c>
      <c r="G119" s="35" t="str">
        <f aca="false">IF(F119="","",F119/$B$5)</f>
        <v/>
      </c>
      <c r="H119" s="35" t="str">
        <f aca="false">IF(G119="","",SUM($G$34:G119))</f>
        <v/>
      </c>
      <c r="I119" s="34"/>
    </row>
    <row r="120" customFormat="false" ht="15" hidden="false" customHeight="false" outlineLevel="0" collapsed="false">
      <c r="A120" s="33"/>
      <c r="B120" s="34"/>
      <c r="C120" s="34"/>
      <c r="D120" s="27"/>
      <c r="E120" s="27"/>
      <c r="F120" s="35" t="str">
        <f aca="false">IF(OR(D120="",E120=""),"",IFERROR((D120*INDEX($C$14:$C$16,MATCH(B120,$A$14:$A$16,0))+E120*INDEX($D$14:$D$16,MATCH(B120,$A$14:$A$16,0)))/1000000,""))</f>
        <v/>
      </c>
      <c r="G120" s="35" t="str">
        <f aca="false">IF(F120="","",F120/$B$5)</f>
        <v/>
      </c>
      <c r="H120" s="35" t="str">
        <f aca="false">IF(G120="","",SUM($G$34:G120))</f>
        <v/>
      </c>
      <c r="I120" s="34"/>
    </row>
    <row r="121" customFormat="false" ht="15" hidden="false" customHeight="false" outlineLevel="0" collapsed="false">
      <c r="A121" s="33"/>
      <c r="B121" s="34"/>
      <c r="C121" s="34"/>
      <c r="D121" s="27"/>
      <c r="E121" s="27"/>
      <c r="F121" s="35" t="str">
        <f aca="false">IF(OR(D121="",E121=""),"",IFERROR((D121*INDEX($C$14:$C$16,MATCH(B121,$A$14:$A$16,0))+E121*INDEX($D$14:$D$16,MATCH(B121,$A$14:$A$16,0)))/1000000,""))</f>
        <v/>
      </c>
      <c r="G121" s="35" t="str">
        <f aca="false">IF(F121="","",F121/$B$5)</f>
        <v/>
      </c>
      <c r="H121" s="35" t="str">
        <f aca="false">IF(G121="","",SUM($G$34:G121))</f>
        <v/>
      </c>
      <c r="I121" s="34"/>
    </row>
    <row r="122" customFormat="false" ht="15" hidden="false" customHeight="false" outlineLevel="0" collapsed="false">
      <c r="A122" s="33"/>
      <c r="B122" s="34"/>
      <c r="C122" s="34"/>
      <c r="D122" s="27"/>
      <c r="E122" s="27"/>
      <c r="F122" s="35" t="str">
        <f aca="false">IF(OR(D122="",E122=""),"",IFERROR((D122*INDEX($C$14:$C$16,MATCH(B122,$A$14:$A$16,0))+E122*INDEX($D$14:$D$16,MATCH(B122,$A$14:$A$16,0)))/1000000,""))</f>
        <v/>
      </c>
      <c r="G122" s="35" t="str">
        <f aca="false">IF(F122="","",F122/$B$5)</f>
        <v/>
      </c>
      <c r="H122" s="35" t="str">
        <f aca="false">IF(G122="","",SUM($G$34:G122))</f>
        <v/>
      </c>
      <c r="I122" s="34"/>
    </row>
    <row r="123" customFormat="false" ht="15" hidden="false" customHeight="false" outlineLevel="0" collapsed="false">
      <c r="A123" s="33"/>
      <c r="B123" s="34"/>
      <c r="C123" s="34"/>
      <c r="D123" s="27"/>
      <c r="E123" s="27"/>
      <c r="F123" s="35" t="str">
        <f aca="false">IF(OR(D123="",E123=""),"",IFERROR((D123*INDEX($C$14:$C$16,MATCH(B123,$A$14:$A$16,0))+E123*INDEX($D$14:$D$16,MATCH(B123,$A$14:$A$16,0)))/1000000,""))</f>
        <v/>
      </c>
      <c r="G123" s="35" t="str">
        <f aca="false">IF(F123="","",F123/$B$5)</f>
        <v/>
      </c>
      <c r="H123" s="35" t="str">
        <f aca="false">IF(G123="","",SUM($G$34:G123))</f>
        <v/>
      </c>
      <c r="I123" s="34"/>
    </row>
    <row r="124" customFormat="false" ht="15" hidden="false" customHeight="false" outlineLevel="0" collapsed="false">
      <c r="A124" s="33"/>
      <c r="B124" s="34"/>
      <c r="C124" s="34"/>
      <c r="D124" s="27"/>
      <c r="E124" s="27"/>
      <c r="F124" s="35" t="str">
        <f aca="false">IF(OR(D124="",E124=""),"",IFERROR((D124*INDEX($C$14:$C$16,MATCH(B124,$A$14:$A$16,0))+E124*INDEX($D$14:$D$16,MATCH(B124,$A$14:$A$16,0)))/1000000,""))</f>
        <v/>
      </c>
      <c r="G124" s="35" t="str">
        <f aca="false">IF(F124="","",F124/$B$5)</f>
        <v/>
      </c>
      <c r="H124" s="35" t="str">
        <f aca="false">IF(G124="","",SUM($G$34:G124))</f>
        <v/>
      </c>
      <c r="I124" s="34"/>
    </row>
    <row r="125" customFormat="false" ht="15" hidden="false" customHeight="false" outlineLevel="0" collapsed="false">
      <c r="A125" s="33"/>
      <c r="B125" s="34"/>
      <c r="C125" s="34"/>
      <c r="D125" s="27"/>
      <c r="E125" s="27"/>
      <c r="F125" s="35" t="str">
        <f aca="false">IF(OR(D125="",E125=""),"",IFERROR((D125*INDEX($C$14:$C$16,MATCH(B125,$A$14:$A$16,0))+E125*INDEX($D$14:$D$16,MATCH(B125,$A$14:$A$16,0)))/1000000,""))</f>
        <v/>
      </c>
      <c r="G125" s="35" t="str">
        <f aca="false">IF(F125="","",F125/$B$5)</f>
        <v/>
      </c>
      <c r="H125" s="35" t="str">
        <f aca="false">IF(G125="","",SUM($G$34:G125))</f>
        <v/>
      </c>
      <c r="I125" s="34"/>
    </row>
    <row r="126" customFormat="false" ht="15" hidden="false" customHeight="false" outlineLevel="0" collapsed="false">
      <c r="A126" s="33"/>
      <c r="B126" s="34"/>
      <c r="C126" s="34"/>
      <c r="D126" s="27"/>
      <c r="E126" s="27"/>
      <c r="F126" s="35" t="str">
        <f aca="false">IF(OR(D126="",E126=""),"",IFERROR((D126*INDEX($C$14:$C$16,MATCH(B126,$A$14:$A$16,0))+E126*INDEX($D$14:$D$16,MATCH(B126,$A$14:$A$16,0)))/1000000,""))</f>
        <v/>
      </c>
      <c r="G126" s="35" t="str">
        <f aca="false">IF(F126="","",F126/$B$5)</f>
        <v/>
      </c>
      <c r="H126" s="35" t="str">
        <f aca="false">IF(G126="","",SUM($G$34:G126))</f>
        <v/>
      </c>
      <c r="I126" s="34"/>
    </row>
    <row r="127" customFormat="false" ht="15" hidden="false" customHeight="false" outlineLevel="0" collapsed="false">
      <c r="A127" s="33"/>
      <c r="B127" s="34"/>
      <c r="C127" s="34"/>
      <c r="D127" s="27"/>
      <c r="E127" s="27"/>
      <c r="F127" s="35" t="str">
        <f aca="false">IF(OR(D127="",E127=""),"",IFERROR((D127*INDEX($C$14:$C$16,MATCH(B127,$A$14:$A$16,0))+E127*INDEX($D$14:$D$16,MATCH(B127,$A$14:$A$16,0)))/1000000,""))</f>
        <v/>
      </c>
      <c r="G127" s="35" t="str">
        <f aca="false">IF(F127="","",F127/$B$5)</f>
        <v/>
      </c>
      <c r="H127" s="35" t="str">
        <f aca="false">IF(G127="","",SUM($G$34:G127))</f>
        <v/>
      </c>
      <c r="I127" s="34"/>
    </row>
    <row r="128" customFormat="false" ht="15" hidden="false" customHeight="false" outlineLevel="0" collapsed="false">
      <c r="A128" s="33"/>
      <c r="B128" s="34"/>
      <c r="C128" s="34"/>
      <c r="D128" s="27"/>
      <c r="E128" s="27"/>
      <c r="F128" s="35" t="str">
        <f aca="false">IF(OR(D128="",E128=""),"",IFERROR((D128*INDEX($C$14:$C$16,MATCH(B128,$A$14:$A$16,0))+E128*INDEX($D$14:$D$16,MATCH(B128,$A$14:$A$16,0)))/1000000,""))</f>
        <v/>
      </c>
      <c r="G128" s="35" t="str">
        <f aca="false">IF(F128="","",F128/$B$5)</f>
        <v/>
      </c>
      <c r="H128" s="35" t="str">
        <f aca="false">IF(G128="","",SUM($G$34:G128))</f>
        <v/>
      </c>
      <c r="I128" s="34"/>
    </row>
    <row r="129" customFormat="false" ht="15" hidden="false" customHeight="false" outlineLevel="0" collapsed="false">
      <c r="A129" s="33"/>
      <c r="B129" s="34"/>
      <c r="C129" s="34"/>
      <c r="D129" s="27"/>
      <c r="E129" s="27"/>
      <c r="F129" s="35" t="str">
        <f aca="false">IF(OR(D129="",E129=""),"",IFERROR((D129*INDEX($C$14:$C$16,MATCH(B129,$A$14:$A$16,0))+E129*INDEX($D$14:$D$16,MATCH(B129,$A$14:$A$16,0)))/1000000,""))</f>
        <v/>
      </c>
      <c r="G129" s="35" t="str">
        <f aca="false">IF(F129="","",F129/$B$5)</f>
        <v/>
      </c>
      <c r="H129" s="35" t="str">
        <f aca="false">IF(G129="","",SUM($G$34:G129))</f>
        <v/>
      </c>
      <c r="I129" s="34"/>
    </row>
    <row r="130" customFormat="false" ht="15" hidden="false" customHeight="false" outlineLevel="0" collapsed="false">
      <c r="A130" s="33"/>
      <c r="B130" s="34"/>
      <c r="C130" s="34"/>
      <c r="D130" s="27"/>
      <c r="E130" s="27"/>
      <c r="F130" s="35" t="str">
        <f aca="false">IF(OR(D130="",E130=""),"",IFERROR((D130*INDEX($C$14:$C$16,MATCH(B130,$A$14:$A$16,0))+E130*INDEX($D$14:$D$16,MATCH(B130,$A$14:$A$16,0)))/1000000,""))</f>
        <v/>
      </c>
      <c r="G130" s="35" t="str">
        <f aca="false">IF(F130="","",F130/$B$5)</f>
        <v/>
      </c>
      <c r="H130" s="35" t="str">
        <f aca="false">IF(G130="","",SUM($G$34:G130))</f>
        <v/>
      </c>
      <c r="I130" s="34"/>
    </row>
    <row r="131" customFormat="false" ht="15" hidden="false" customHeight="false" outlineLevel="0" collapsed="false">
      <c r="A131" s="33"/>
      <c r="B131" s="34"/>
      <c r="C131" s="34"/>
      <c r="D131" s="27"/>
      <c r="E131" s="27"/>
      <c r="F131" s="35" t="str">
        <f aca="false">IF(OR(D131="",E131=""),"",IFERROR((D131*INDEX($C$14:$C$16,MATCH(B131,$A$14:$A$16,0))+E131*INDEX($D$14:$D$16,MATCH(B131,$A$14:$A$16,0)))/1000000,""))</f>
        <v/>
      </c>
      <c r="G131" s="35" t="str">
        <f aca="false">IF(F131="","",F131/$B$5)</f>
        <v/>
      </c>
      <c r="H131" s="35" t="str">
        <f aca="false">IF(G131="","",SUM($G$34:G131))</f>
        <v/>
      </c>
      <c r="I131" s="34"/>
    </row>
    <row r="132" customFormat="false" ht="15" hidden="false" customHeight="false" outlineLevel="0" collapsed="false">
      <c r="A132" s="33"/>
      <c r="B132" s="34"/>
      <c r="C132" s="34"/>
      <c r="D132" s="27"/>
      <c r="E132" s="27"/>
      <c r="F132" s="35" t="str">
        <f aca="false">IF(OR(D132="",E132=""),"",IFERROR((D132*INDEX($C$14:$C$16,MATCH(B132,$A$14:$A$16,0))+E132*INDEX($D$14:$D$16,MATCH(B132,$A$14:$A$16,0)))/1000000,""))</f>
        <v/>
      </c>
      <c r="G132" s="35" t="str">
        <f aca="false">IF(F132="","",F132/$B$5)</f>
        <v/>
      </c>
      <c r="H132" s="35" t="str">
        <f aca="false">IF(G132="","",SUM($G$34:G132))</f>
        <v/>
      </c>
      <c r="I132" s="34"/>
    </row>
    <row r="133" customFormat="false" ht="15" hidden="false" customHeight="false" outlineLevel="0" collapsed="false">
      <c r="A133" s="33"/>
      <c r="B133" s="34"/>
      <c r="C133" s="34"/>
      <c r="D133" s="27"/>
      <c r="E133" s="27"/>
      <c r="F133" s="35" t="str">
        <f aca="false">IF(OR(D133="",E133=""),"",IFERROR((D133*INDEX($C$14:$C$16,MATCH(B133,$A$14:$A$16,0))+E133*INDEX($D$14:$D$16,MATCH(B133,$A$14:$A$16,0)))/1000000,""))</f>
        <v/>
      </c>
      <c r="G133" s="35" t="str">
        <f aca="false">IF(F133="","",F133/$B$5)</f>
        <v/>
      </c>
      <c r="H133" s="35" t="str">
        <f aca="false">IF(G133="","",SUM($G$34:G133))</f>
        <v/>
      </c>
      <c r="I133" s="34"/>
    </row>
    <row r="134" customFormat="false" ht="15" hidden="false" customHeight="false" outlineLevel="0" collapsed="false">
      <c r="A134" s="33"/>
      <c r="B134" s="34"/>
      <c r="C134" s="34"/>
      <c r="D134" s="27"/>
      <c r="E134" s="27"/>
      <c r="F134" s="35" t="str">
        <f aca="false">IF(OR(D134="",E134=""),"",IFERROR((D134*INDEX($C$14:$C$16,MATCH(B134,$A$14:$A$16,0))+E134*INDEX($D$14:$D$16,MATCH(B134,$A$14:$A$16,0)))/1000000,""))</f>
        <v/>
      </c>
      <c r="G134" s="35" t="str">
        <f aca="false">IF(F134="","",F134/$B$5)</f>
        <v/>
      </c>
      <c r="H134" s="35" t="str">
        <f aca="false">IF(G134="","",SUM($G$34:G134))</f>
        <v/>
      </c>
      <c r="I134" s="34"/>
    </row>
    <row r="135" customFormat="false" ht="15" hidden="false" customHeight="false" outlineLevel="0" collapsed="false">
      <c r="A135" s="33"/>
      <c r="B135" s="34"/>
      <c r="C135" s="34"/>
      <c r="D135" s="27"/>
      <c r="E135" s="27"/>
      <c r="F135" s="35" t="str">
        <f aca="false">IF(OR(D135="",E135=""),"",IFERROR((D135*INDEX($C$14:$C$16,MATCH(B135,$A$14:$A$16,0))+E135*INDEX($D$14:$D$16,MATCH(B135,$A$14:$A$16,0)))/1000000,""))</f>
        <v/>
      </c>
      <c r="G135" s="35" t="str">
        <f aca="false">IF(F135="","",F135/$B$5)</f>
        <v/>
      </c>
      <c r="H135" s="35" t="str">
        <f aca="false">IF(G135="","",SUM($G$34:G135))</f>
        <v/>
      </c>
      <c r="I135" s="34"/>
    </row>
    <row r="136" customFormat="false" ht="15" hidden="false" customHeight="false" outlineLevel="0" collapsed="false">
      <c r="A136" s="33"/>
      <c r="B136" s="34"/>
      <c r="C136" s="34"/>
      <c r="D136" s="27"/>
      <c r="E136" s="27"/>
      <c r="F136" s="35" t="str">
        <f aca="false">IF(OR(D136="",E136=""),"",IFERROR((D136*INDEX($C$14:$C$16,MATCH(B136,$A$14:$A$16,0))+E136*INDEX($D$14:$D$16,MATCH(B136,$A$14:$A$16,0)))/1000000,""))</f>
        <v/>
      </c>
      <c r="G136" s="35" t="str">
        <f aca="false">IF(F136="","",F136/$B$5)</f>
        <v/>
      </c>
      <c r="H136" s="35" t="str">
        <f aca="false">IF(G136="","",SUM($G$34:G136))</f>
        <v/>
      </c>
      <c r="I136" s="34"/>
    </row>
    <row r="137" customFormat="false" ht="15" hidden="false" customHeight="false" outlineLevel="0" collapsed="false">
      <c r="A137" s="33"/>
      <c r="B137" s="34"/>
      <c r="C137" s="34"/>
      <c r="D137" s="27"/>
      <c r="E137" s="27"/>
      <c r="F137" s="35" t="str">
        <f aca="false">IF(OR(D137="",E137=""),"",IFERROR((D137*INDEX($C$14:$C$16,MATCH(B137,$A$14:$A$16,0))+E137*INDEX($D$14:$D$16,MATCH(B137,$A$14:$A$16,0)))/1000000,""))</f>
        <v/>
      </c>
      <c r="G137" s="35" t="str">
        <f aca="false">IF(F137="","",F137/$B$5)</f>
        <v/>
      </c>
      <c r="H137" s="35" t="str">
        <f aca="false">IF(G137="","",SUM($G$34:G137))</f>
        <v/>
      </c>
      <c r="I137" s="34"/>
    </row>
    <row r="138" customFormat="false" ht="15" hidden="false" customHeight="false" outlineLevel="0" collapsed="false">
      <c r="A138" s="33"/>
      <c r="B138" s="34"/>
      <c r="C138" s="34"/>
      <c r="D138" s="27"/>
      <c r="E138" s="27"/>
      <c r="F138" s="35" t="str">
        <f aca="false">IF(OR(D138="",E138=""),"",IFERROR((D138*INDEX($C$14:$C$16,MATCH(B138,$A$14:$A$16,0))+E138*INDEX($D$14:$D$16,MATCH(B138,$A$14:$A$16,0)))/1000000,""))</f>
        <v/>
      </c>
      <c r="G138" s="35" t="str">
        <f aca="false">IF(F138="","",F138/$B$5)</f>
        <v/>
      </c>
      <c r="H138" s="35" t="str">
        <f aca="false">IF(G138="","",SUM($G$34:G138))</f>
        <v/>
      </c>
      <c r="I138" s="34"/>
    </row>
    <row r="139" customFormat="false" ht="15" hidden="false" customHeight="false" outlineLevel="0" collapsed="false">
      <c r="A139" s="33"/>
      <c r="B139" s="34"/>
      <c r="C139" s="34"/>
      <c r="D139" s="27"/>
      <c r="E139" s="27"/>
      <c r="F139" s="35" t="str">
        <f aca="false">IF(OR(D139="",E139=""),"",IFERROR((D139*INDEX($C$14:$C$16,MATCH(B139,$A$14:$A$16,0))+E139*INDEX($D$14:$D$16,MATCH(B139,$A$14:$A$16,0)))/1000000,""))</f>
        <v/>
      </c>
      <c r="G139" s="35" t="str">
        <f aca="false">IF(F139="","",F139/$B$5)</f>
        <v/>
      </c>
      <c r="H139" s="35" t="str">
        <f aca="false">IF(G139="","",SUM($G$34:G139))</f>
        <v/>
      </c>
      <c r="I139" s="34"/>
    </row>
    <row r="140" customFormat="false" ht="15" hidden="false" customHeight="false" outlineLevel="0" collapsed="false">
      <c r="A140" s="33"/>
      <c r="B140" s="34"/>
      <c r="C140" s="34"/>
      <c r="D140" s="27"/>
      <c r="E140" s="27"/>
      <c r="F140" s="35" t="str">
        <f aca="false">IF(OR(D140="",E140=""),"",IFERROR((D140*INDEX($C$14:$C$16,MATCH(B140,$A$14:$A$16,0))+E140*INDEX($D$14:$D$16,MATCH(B140,$A$14:$A$16,0)))/1000000,""))</f>
        <v/>
      </c>
      <c r="G140" s="35" t="str">
        <f aca="false">IF(F140="","",F140/$B$5)</f>
        <v/>
      </c>
      <c r="H140" s="35" t="str">
        <f aca="false">IF(G140="","",SUM($G$34:G140))</f>
        <v/>
      </c>
      <c r="I140" s="34"/>
    </row>
    <row r="141" customFormat="false" ht="15" hidden="false" customHeight="false" outlineLevel="0" collapsed="false">
      <c r="A141" s="33"/>
      <c r="B141" s="34"/>
      <c r="C141" s="34"/>
      <c r="D141" s="27"/>
      <c r="E141" s="27"/>
      <c r="F141" s="35" t="str">
        <f aca="false">IF(OR(D141="",E141=""),"",IFERROR((D141*INDEX($C$14:$C$16,MATCH(B141,$A$14:$A$16,0))+E141*INDEX($D$14:$D$16,MATCH(B141,$A$14:$A$16,0)))/1000000,""))</f>
        <v/>
      </c>
      <c r="G141" s="35" t="str">
        <f aca="false">IF(F141="","",F141/$B$5)</f>
        <v/>
      </c>
      <c r="H141" s="35" t="str">
        <f aca="false">IF(G141="","",SUM($G$34:G141))</f>
        <v/>
      </c>
      <c r="I141" s="34"/>
    </row>
    <row r="142" customFormat="false" ht="15" hidden="false" customHeight="false" outlineLevel="0" collapsed="false">
      <c r="A142" s="33"/>
      <c r="B142" s="34"/>
      <c r="C142" s="34"/>
      <c r="D142" s="27"/>
      <c r="E142" s="27"/>
      <c r="F142" s="35" t="str">
        <f aca="false">IF(OR(D142="",E142=""),"",IFERROR((D142*INDEX($C$14:$C$16,MATCH(B142,$A$14:$A$16,0))+E142*INDEX($D$14:$D$16,MATCH(B142,$A$14:$A$16,0)))/1000000,""))</f>
        <v/>
      </c>
      <c r="G142" s="35" t="str">
        <f aca="false">IF(F142="","",F142/$B$5)</f>
        <v/>
      </c>
      <c r="H142" s="35" t="str">
        <f aca="false">IF(G142="","",SUM($G$34:G142))</f>
        <v/>
      </c>
      <c r="I142" s="34"/>
    </row>
    <row r="143" customFormat="false" ht="15" hidden="false" customHeight="false" outlineLevel="0" collapsed="false">
      <c r="A143" s="33"/>
      <c r="B143" s="34"/>
      <c r="C143" s="34"/>
      <c r="D143" s="27"/>
      <c r="E143" s="27"/>
      <c r="F143" s="35" t="str">
        <f aca="false">IF(OR(D143="",E143=""),"",IFERROR((D143*INDEX($C$14:$C$16,MATCH(B143,$A$14:$A$16,0))+E143*INDEX($D$14:$D$16,MATCH(B143,$A$14:$A$16,0)))/1000000,""))</f>
        <v/>
      </c>
      <c r="G143" s="35" t="str">
        <f aca="false">IF(F143="","",F143/$B$5)</f>
        <v/>
      </c>
      <c r="H143" s="35" t="str">
        <f aca="false">IF(G143="","",SUM($G$34:G143))</f>
        <v/>
      </c>
      <c r="I143" s="34"/>
    </row>
    <row r="144" customFormat="false" ht="15" hidden="false" customHeight="false" outlineLevel="0" collapsed="false">
      <c r="A144" s="33"/>
      <c r="B144" s="34"/>
      <c r="C144" s="34"/>
      <c r="D144" s="27"/>
      <c r="E144" s="27"/>
      <c r="F144" s="35" t="str">
        <f aca="false">IF(OR(D144="",E144=""),"",IFERROR((D144*INDEX($C$14:$C$16,MATCH(B144,$A$14:$A$16,0))+E144*INDEX($D$14:$D$16,MATCH(B144,$A$14:$A$16,0)))/1000000,""))</f>
        <v/>
      </c>
      <c r="G144" s="35" t="str">
        <f aca="false">IF(F144="","",F144/$B$5)</f>
        <v/>
      </c>
      <c r="H144" s="35" t="str">
        <f aca="false">IF(G144="","",SUM($G$34:G144))</f>
        <v/>
      </c>
      <c r="I144" s="34"/>
    </row>
    <row r="145" customFormat="false" ht="15" hidden="false" customHeight="false" outlineLevel="0" collapsed="false">
      <c r="A145" s="33"/>
      <c r="B145" s="34"/>
      <c r="C145" s="34"/>
      <c r="D145" s="27"/>
      <c r="E145" s="27"/>
      <c r="F145" s="35" t="str">
        <f aca="false">IF(OR(D145="",E145=""),"",IFERROR((D145*INDEX($C$14:$C$16,MATCH(B145,$A$14:$A$16,0))+E145*INDEX($D$14:$D$16,MATCH(B145,$A$14:$A$16,0)))/1000000,""))</f>
        <v/>
      </c>
      <c r="G145" s="35" t="str">
        <f aca="false">IF(F145="","",F145/$B$5)</f>
        <v/>
      </c>
      <c r="H145" s="35" t="str">
        <f aca="false">IF(G145="","",SUM($G$34:G145))</f>
        <v/>
      </c>
      <c r="I145" s="34"/>
    </row>
    <row r="146" customFormat="false" ht="15" hidden="false" customHeight="false" outlineLevel="0" collapsed="false">
      <c r="A146" s="33"/>
      <c r="B146" s="34"/>
      <c r="C146" s="34"/>
      <c r="D146" s="27"/>
      <c r="E146" s="27"/>
      <c r="F146" s="35" t="str">
        <f aca="false">IF(OR(D146="",E146=""),"",IFERROR((D146*INDEX($C$14:$C$16,MATCH(B146,$A$14:$A$16,0))+E146*INDEX($D$14:$D$16,MATCH(B146,$A$14:$A$16,0)))/1000000,""))</f>
        <v/>
      </c>
      <c r="G146" s="35" t="str">
        <f aca="false">IF(F146="","",F146/$B$5)</f>
        <v/>
      </c>
      <c r="H146" s="35" t="str">
        <f aca="false">IF(G146="","",SUM($G$34:G146))</f>
        <v/>
      </c>
      <c r="I146" s="34"/>
    </row>
    <row r="147" customFormat="false" ht="15" hidden="false" customHeight="false" outlineLevel="0" collapsed="false">
      <c r="A147" s="33"/>
      <c r="B147" s="34"/>
      <c r="C147" s="34"/>
      <c r="D147" s="27"/>
      <c r="E147" s="27"/>
      <c r="F147" s="35" t="str">
        <f aca="false">IF(OR(D147="",E147=""),"",IFERROR((D147*INDEX($C$14:$C$16,MATCH(B147,$A$14:$A$16,0))+E147*INDEX($D$14:$D$16,MATCH(B147,$A$14:$A$16,0)))/1000000,""))</f>
        <v/>
      </c>
      <c r="G147" s="35" t="str">
        <f aca="false">IF(F147="","",F147/$B$5)</f>
        <v/>
      </c>
      <c r="H147" s="35" t="str">
        <f aca="false">IF(G147="","",SUM($G$34:G147))</f>
        <v/>
      </c>
      <c r="I147" s="34"/>
    </row>
    <row r="148" customFormat="false" ht="15" hidden="false" customHeight="false" outlineLevel="0" collapsed="false">
      <c r="A148" s="33"/>
      <c r="B148" s="34"/>
      <c r="C148" s="34"/>
      <c r="D148" s="27"/>
      <c r="E148" s="27"/>
      <c r="F148" s="35" t="str">
        <f aca="false">IF(OR(D148="",E148=""),"",IFERROR((D148*INDEX($C$14:$C$16,MATCH(B148,$A$14:$A$16,0))+E148*INDEX($D$14:$D$16,MATCH(B148,$A$14:$A$16,0)))/1000000,""))</f>
        <v/>
      </c>
      <c r="G148" s="35" t="str">
        <f aca="false">IF(F148="","",F148/$B$5)</f>
        <v/>
      </c>
      <c r="H148" s="35" t="str">
        <f aca="false">IF(G148="","",SUM($G$34:G148))</f>
        <v/>
      </c>
      <c r="I148" s="34"/>
    </row>
    <row r="149" customFormat="false" ht="15" hidden="false" customHeight="false" outlineLevel="0" collapsed="false">
      <c r="A149" s="33"/>
      <c r="B149" s="34"/>
      <c r="C149" s="34"/>
      <c r="D149" s="27"/>
      <c r="E149" s="27"/>
      <c r="F149" s="35" t="str">
        <f aca="false">IF(OR(D149="",E149=""),"",IFERROR((D149*INDEX($C$14:$C$16,MATCH(B149,$A$14:$A$16,0))+E149*INDEX($D$14:$D$16,MATCH(B149,$A$14:$A$16,0)))/1000000,""))</f>
        <v/>
      </c>
      <c r="G149" s="35" t="str">
        <f aca="false">IF(F149="","",F149/$B$5)</f>
        <v/>
      </c>
      <c r="H149" s="35" t="str">
        <f aca="false">IF(G149="","",SUM($G$34:G149))</f>
        <v/>
      </c>
      <c r="I149" s="34"/>
    </row>
    <row r="150" customFormat="false" ht="15" hidden="false" customHeight="false" outlineLevel="0" collapsed="false">
      <c r="A150" s="33"/>
      <c r="B150" s="34"/>
      <c r="C150" s="34"/>
      <c r="D150" s="27"/>
      <c r="E150" s="27"/>
      <c r="F150" s="35" t="str">
        <f aca="false">IF(OR(D150="",E150=""),"",IFERROR((D150*INDEX($C$14:$C$16,MATCH(B150,$A$14:$A$16,0))+E150*INDEX($D$14:$D$16,MATCH(B150,$A$14:$A$16,0)))/1000000,""))</f>
        <v/>
      </c>
      <c r="G150" s="35" t="str">
        <f aca="false">IF(F150="","",F150/$B$5)</f>
        <v/>
      </c>
      <c r="H150" s="35" t="str">
        <f aca="false">IF(G150="","",SUM($G$34:G150))</f>
        <v/>
      </c>
      <c r="I150" s="34"/>
    </row>
    <row r="151" customFormat="false" ht="15" hidden="false" customHeight="false" outlineLevel="0" collapsed="false">
      <c r="A151" s="33"/>
      <c r="B151" s="34"/>
      <c r="C151" s="34"/>
      <c r="D151" s="27"/>
      <c r="E151" s="27"/>
      <c r="F151" s="35" t="str">
        <f aca="false">IF(OR(D151="",E151=""),"",IFERROR((D151*INDEX($C$14:$C$16,MATCH(B151,$A$14:$A$16,0))+E151*INDEX($D$14:$D$16,MATCH(B151,$A$14:$A$16,0)))/1000000,""))</f>
        <v/>
      </c>
      <c r="G151" s="35" t="str">
        <f aca="false">IF(F151="","",F151/$B$5)</f>
        <v/>
      </c>
      <c r="H151" s="35" t="str">
        <f aca="false">IF(G151="","",SUM($G$34:G151))</f>
        <v/>
      </c>
      <c r="I151" s="34"/>
    </row>
    <row r="152" customFormat="false" ht="15" hidden="false" customHeight="false" outlineLevel="0" collapsed="false">
      <c r="A152" s="33"/>
      <c r="B152" s="34"/>
      <c r="C152" s="34"/>
      <c r="D152" s="27"/>
      <c r="E152" s="27"/>
      <c r="F152" s="35" t="str">
        <f aca="false">IF(OR(D152="",E152=""),"",IFERROR((D152*INDEX($C$14:$C$16,MATCH(B152,$A$14:$A$16,0))+E152*INDEX($D$14:$D$16,MATCH(B152,$A$14:$A$16,0)))/1000000,""))</f>
        <v/>
      </c>
      <c r="G152" s="35" t="str">
        <f aca="false">IF(F152="","",F152/$B$5)</f>
        <v/>
      </c>
      <c r="H152" s="35" t="str">
        <f aca="false">IF(G152="","",SUM($G$34:G152))</f>
        <v/>
      </c>
      <c r="I152" s="34"/>
    </row>
    <row r="153" customFormat="false" ht="15" hidden="false" customHeight="false" outlineLevel="0" collapsed="false">
      <c r="A153" s="33"/>
      <c r="B153" s="34"/>
      <c r="C153" s="34"/>
      <c r="D153" s="27"/>
      <c r="E153" s="27"/>
      <c r="F153" s="35" t="str">
        <f aca="false">IF(OR(D153="",E153=""),"",IFERROR((D153*INDEX($C$14:$C$16,MATCH(B153,$A$14:$A$16,0))+E153*INDEX($D$14:$D$16,MATCH(B153,$A$14:$A$16,0)))/1000000,""))</f>
        <v/>
      </c>
      <c r="G153" s="35" t="str">
        <f aca="false">IF(F153="","",F153/$B$5)</f>
        <v/>
      </c>
      <c r="H153" s="35" t="str">
        <f aca="false">IF(G153="","",SUM($G$34:G153))</f>
        <v/>
      </c>
      <c r="I153" s="34"/>
    </row>
    <row r="154" customFormat="false" ht="15" hidden="false" customHeight="false" outlineLevel="0" collapsed="false">
      <c r="A154" s="33"/>
      <c r="B154" s="34"/>
      <c r="C154" s="34"/>
      <c r="D154" s="27"/>
      <c r="E154" s="27"/>
      <c r="F154" s="35" t="str">
        <f aca="false">IF(OR(D154="",E154=""),"",IFERROR((D154*INDEX($C$14:$C$16,MATCH(B154,$A$14:$A$16,0))+E154*INDEX($D$14:$D$16,MATCH(B154,$A$14:$A$16,0)))/1000000,""))</f>
        <v/>
      </c>
      <c r="G154" s="35" t="str">
        <f aca="false">IF(F154="","",F154/$B$5)</f>
        <v/>
      </c>
      <c r="H154" s="35" t="str">
        <f aca="false">IF(G154="","",SUM($G$34:G154))</f>
        <v/>
      </c>
      <c r="I154" s="34"/>
    </row>
    <row r="155" customFormat="false" ht="15" hidden="false" customHeight="false" outlineLevel="0" collapsed="false">
      <c r="A155" s="33"/>
      <c r="B155" s="34"/>
      <c r="C155" s="34"/>
      <c r="D155" s="27"/>
      <c r="E155" s="27"/>
      <c r="F155" s="35" t="str">
        <f aca="false">IF(OR(D155="",E155=""),"",IFERROR((D155*INDEX($C$14:$C$16,MATCH(B155,$A$14:$A$16,0))+E155*INDEX($D$14:$D$16,MATCH(B155,$A$14:$A$16,0)))/1000000,""))</f>
        <v/>
      </c>
      <c r="G155" s="35" t="str">
        <f aca="false">IF(F155="","",F155/$B$5)</f>
        <v/>
      </c>
      <c r="H155" s="35" t="str">
        <f aca="false">IF(G155="","",SUM($G$34:G155))</f>
        <v/>
      </c>
      <c r="I155" s="34"/>
    </row>
    <row r="156" customFormat="false" ht="15" hidden="false" customHeight="false" outlineLevel="0" collapsed="false">
      <c r="A156" s="33"/>
      <c r="B156" s="34"/>
      <c r="C156" s="34"/>
      <c r="D156" s="27"/>
      <c r="E156" s="27"/>
      <c r="F156" s="35" t="str">
        <f aca="false">IF(OR(D156="",E156=""),"",IFERROR((D156*INDEX($C$14:$C$16,MATCH(B156,$A$14:$A$16,0))+E156*INDEX($D$14:$D$16,MATCH(B156,$A$14:$A$16,0)))/1000000,""))</f>
        <v/>
      </c>
      <c r="G156" s="35" t="str">
        <f aca="false">IF(F156="","",F156/$B$5)</f>
        <v/>
      </c>
      <c r="H156" s="35" t="str">
        <f aca="false">IF(G156="","",SUM($G$34:G156))</f>
        <v/>
      </c>
      <c r="I156" s="34"/>
    </row>
    <row r="157" customFormat="false" ht="15" hidden="false" customHeight="false" outlineLevel="0" collapsed="false">
      <c r="A157" s="33"/>
      <c r="B157" s="34"/>
      <c r="C157" s="34"/>
      <c r="D157" s="27"/>
      <c r="E157" s="27"/>
      <c r="F157" s="35" t="str">
        <f aca="false">IF(OR(D157="",E157=""),"",IFERROR((D157*INDEX($C$14:$C$16,MATCH(B157,$A$14:$A$16,0))+E157*INDEX($D$14:$D$16,MATCH(B157,$A$14:$A$16,0)))/1000000,""))</f>
        <v/>
      </c>
      <c r="G157" s="35" t="str">
        <f aca="false">IF(F157="","",F157/$B$5)</f>
        <v/>
      </c>
      <c r="H157" s="35" t="str">
        <f aca="false">IF(G157="","",SUM($G$34:G157))</f>
        <v/>
      </c>
      <c r="I157" s="34"/>
    </row>
    <row r="158" customFormat="false" ht="15" hidden="false" customHeight="false" outlineLevel="0" collapsed="false">
      <c r="A158" s="33"/>
      <c r="B158" s="34"/>
      <c r="C158" s="34"/>
      <c r="D158" s="27"/>
      <c r="E158" s="27"/>
      <c r="F158" s="35" t="str">
        <f aca="false">IF(OR(D158="",E158=""),"",IFERROR((D158*INDEX($C$14:$C$16,MATCH(B158,$A$14:$A$16,0))+E158*INDEX($D$14:$D$16,MATCH(B158,$A$14:$A$16,0)))/1000000,""))</f>
        <v/>
      </c>
      <c r="G158" s="35" t="str">
        <f aca="false">IF(F158="","",F158/$B$5)</f>
        <v/>
      </c>
      <c r="H158" s="35" t="str">
        <f aca="false">IF(G158="","",SUM($G$34:G158))</f>
        <v/>
      </c>
      <c r="I158" s="34"/>
    </row>
    <row r="159" customFormat="false" ht="15" hidden="false" customHeight="false" outlineLevel="0" collapsed="false">
      <c r="A159" s="33"/>
      <c r="B159" s="34"/>
      <c r="C159" s="34"/>
      <c r="D159" s="27"/>
      <c r="E159" s="27"/>
      <c r="F159" s="35" t="str">
        <f aca="false">IF(OR(D159="",E159=""),"",IFERROR((D159*INDEX($C$14:$C$16,MATCH(B159,$A$14:$A$16,0))+E159*INDEX($D$14:$D$16,MATCH(B159,$A$14:$A$16,0)))/1000000,""))</f>
        <v/>
      </c>
      <c r="G159" s="35" t="str">
        <f aca="false">IF(F159="","",F159/$B$5)</f>
        <v/>
      </c>
      <c r="H159" s="35" t="str">
        <f aca="false">IF(G159="","",SUM($G$34:G159))</f>
        <v/>
      </c>
      <c r="I159" s="34"/>
    </row>
    <row r="160" customFormat="false" ht="15" hidden="false" customHeight="false" outlineLevel="0" collapsed="false">
      <c r="A160" s="33"/>
      <c r="B160" s="34"/>
      <c r="C160" s="34"/>
      <c r="D160" s="27"/>
      <c r="E160" s="27"/>
      <c r="F160" s="35" t="str">
        <f aca="false">IF(OR(D160="",E160=""),"",IFERROR((D160*INDEX($C$14:$C$16,MATCH(B160,$A$14:$A$16,0))+E160*INDEX($D$14:$D$16,MATCH(B160,$A$14:$A$16,0)))/1000000,""))</f>
        <v/>
      </c>
      <c r="G160" s="35" t="str">
        <f aca="false">IF(F160="","",F160/$B$5)</f>
        <v/>
      </c>
      <c r="H160" s="35" t="str">
        <f aca="false">IF(G160="","",SUM($G$34:G160))</f>
        <v/>
      </c>
      <c r="I160" s="34"/>
    </row>
    <row r="161" customFormat="false" ht="15" hidden="false" customHeight="false" outlineLevel="0" collapsed="false">
      <c r="A161" s="33"/>
      <c r="B161" s="34"/>
      <c r="C161" s="34"/>
      <c r="D161" s="27"/>
      <c r="E161" s="27"/>
      <c r="F161" s="35" t="str">
        <f aca="false">IF(OR(D161="",E161=""),"",IFERROR((D161*INDEX($C$14:$C$16,MATCH(B161,$A$14:$A$16,0))+E161*INDEX($D$14:$D$16,MATCH(B161,$A$14:$A$16,0)))/1000000,""))</f>
        <v/>
      </c>
      <c r="G161" s="35" t="str">
        <f aca="false">IF(F161="","",F161/$B$5)</f>
        <v/>
      </c>
      <c r="H161" s="35" t="str">
        <f aca="false">IF(G161="","",SUM($G$34:G161))</f>
        <v/>
      </c>
      <c r="I161" s="34"/>
    </row>
    <row r="162" customFormat="false" ht="15" hidden="false" customHeight="false" outlineLevel="0" collapsed="false">
      <c r="A162" s="33"/>
      <c r="B162" s="34"/>
      <c r="C162" s="34"/>
      <c r="D162" s="27"/>
      <c r="E162" s="27"/>
      <c r="F162" s="35" t="str">
        <f aca="false">IF(OR(D162="",E162=""),"",IFERROR((D162*INDEX($C$14:$C$16,MATCH(B162,$A$14:$A$16,0))+E162*INDEX($D$14:$D$16,MATCH(B162,$A$14:$A$16,0)))/1000000,""))</f>
        <v/>
      </c>
      <c r="G162" s="35" t="str">
        <f aca="false">IF(F162="","",F162/$B$5)</f>
        <v/>
      </c>
      <c r="H162" s="35" t="str">
        <f aca="false">IF(G162="","",SUM($G$34:G162))</f>
        <v/>
      </c>
      <c r="I162" s="34"/>
    </row>
    <row r="163" customFormat="false" ht="15" hidden="false" customHeight="false" outlineLevel="0" collapsed="false">
      <c r="A163" s="33"/>
      <c r="B163" s="34"/>
      <c r="C163" s="34"/>
      <c r="D163" s="27"/>
      <c r="E163" s="27"/>
      <c r="F163" s="35" t="str">
        <f aca="false">IF(OR(D163="",E163=""),"",IFERROR((D163*INDEX($C$14:$C$16,MATCH(B163,$A$14:$A$16,0))+E163*INDEX($D$14:$D$16,MATCH(B163,$A$14:$A$16,0)))/1000000,""))</f>
        <v/>
      </c>
      <c r="G163" s="35" t="str">
        <f aca="false">IF(F163="","",F163/$B$5)</f>
        <v/>
      </c>
      <c r="H163" s="35" t="str">
        <f aca="false">IF(G163="","",SUM($G$34:G163))</f>
        <v/>
      </c>
      <c r="I163" s="34"/>
    </row>
    <row r="164" customFormat="false" ht="15" hidden="false" customHeight="false" outlineLevel="0" collapsed="false">
      <c r="A164" s="33"/>
      <c r="B164" s="34"/>
      <c r="C164" s="34"/>
      <c r="D164" s="27"/>
      <c r="E164" s="27"/>
      <c r="F164" s="35" t="str">
        <f aca="false">IF(OR(D164="",E164=""),"",IFERROR((D164*INDEX($C$14:$C$16,MATCH(B164,$A$14:$A$16,0))+E164*INDEX($D$14:$D$16,MATCH(B164,$A$14:$A$16,0)))/1000000,""))</f>
        <v/>
      </c>
      <c r="G164" s="35" t="str">
        <f aca="false">IF(F164="","",F164/$B$5)</f>
        <v/>
      </c>
      <c r="H164" s="35" t="str">
        <f aca="false">IF(G164="","",SUM($G$34:G164))</f>
        <v/>
      </c>
      <c r="I164" s="34"/>
    </row>
    <row r="165" customFormat="false" ht="15" hidden="false" customHeight="false" outlineLevel="0" collapsed="false">
      <c r="A165" s="33"/>
      <c r="B165" s="34"/>
      <c r="C165" s="34"/>
      <c r="D165" s="27"/>
      <c r="E165" s="27"/>
      <c r="F165" s="35" t="str">
        <f aca="false">IF(OR(D165="",E165=""),"",IFERROR((D165*INDEX($C$14:$C$16,MATCH(B165,$A$14:$A$16,0))+E165*INDEX($D$14:$D$16,MATCH(B165,$A$14:$A$16,0)))/1000000,""))</f>
        <v/>
      </c>
      <c r="G165" s="35" t="str">
        <f aca="false">IF(F165="","",F165/$B$5)</f>
        <v/>
      </c>
      <c r="H165" s="35" t="str">
        <f aca="false">IF(G165="","",SUM($G$34:G165))</f>
        <v/>
      </c>
      <c r="I165" s="34"/>
    </row>
    <row r="166" customFormat="false" ht="15" hidden="false" customHeight="false" outlineLevel="0" collapsed="false">
      <c r="A166" s="33"/>
      <c r="B166" s="34"/>
      <c r="C166" s="34"/>
      <c r="D166" s="27"/>
      <c r="E166" s="27"/>
      <c r="F166" s="35" t="str">
        <f aca="false">IF(OR(D166="",E166=""),"",IFERROR((D166*INDEX($C$14:$C$16,MATCH(B166,$A$14:$A$16,0))+E166*INDEX($D$14:$D$16,MATCH(B166,$A$14:$A$16,0)))/1000000,""))</f>
        <v/>
      </c>
      <c r="G166" s="35" t="str">
        <f aca="false">IF(F166="","",F166/$B$5)</f>
        <v/>
      </c>
      <c r="H166" s="35" t="str">
        <f aca="false">IF(G166="","",SUM($G$34:G166))</f>
        <v/>
      </c>
      <c r="I166" s="34"/>
    </row>
    <row r="167" customFormat="false" ht="15" hidden="false" customHeight="false" outlineLevel="0" collapsed="false">
      <c r="A167" s="33"/>
      <c r="B167" s="34"/>
      <c r="C167" s="34"/>
      <c r="D167" s="27"/>
      <c r="E167" s="27"/>
      <c r="F167" s="35" t="str">
        <f aca="false">IF(OR(D167="",E167=""),"",IFERROR((D167*INDEX($C$14:$C$16,MATCH(B167,$A$14:$A$16,0))+E167*INDEX($D$14:$D$16,MATCH(B167,$A$14:$A$16,0)))/1000000,""))</f>
        <v/>
      </c>
      <c r="G167" s="35" t="str">
        <f aca="false">IF(F167="","",F167/$B$5)</f>
        <v/>
      </c>
      <c r="H167" s="35" t="str">
        <f aca="false">IF(G167="","",SUM($G$34:G167))</f>
        <v/>
      </c>
      <c r="I167" s="34"/>
    </row>
    <row r="168" customFormat="false" ht="15" hidden="false" customHeight="false" outlineLevel="0" collapsed="false">
      <c r="A168" s="33"/>
      <c r="B168" s="34"/>
      <c r="C168" s="34"/>
      <c r="D168" s="27"/>
      <c r="E168" s="27"/>
      <c r="F168" s="35" t="str">
        <f aca="false">IF(OR(D168="",E168=""),"",IFERROR((D168*INDEX($C$14:$C$16,MATCH(B168,$A$14:$A$16,0))+E168*INDEX($D$14:$D$16,MATCH(B168,$A$14:$A$16,0)))/1000000,""))</f>
        <v/>
      </c>
      <c r="G168" s="35" t="str">
        <f aca="false">IF(F168="","",F168/$B$5)</f>
        <v/>
      </c>
      <c r="H168" s="35" t="str">
        <f aca="false">IF(G168="","",SUM($G$34:G168))</f>
        <v/>
      </c>
      <c r="I168" s="34"/>
    </row>
    <row r="169" customFormat="false" ht="15" hidden="false" customHeight="false" outlineLevel="0" collapsed="false">
      <c r="A169" s="33"/>
      <c r="B169" s="34"/>
      <c r="C169" s="34"/>
      <c r="D169" s="27"/>
      <c r="E169" s="27"/>
      <c r="F169" s="35" t="str">
        <f aca="false">IF(OR(D169="",E169=""),"",IFERROR((D169*INDEX($C$14:$C$16,MATCH(B169,$A$14:$A$16,0))+E169*INDEX($D$14:$D$16,MATCH(B169,$A$14:$A$16,0)))/1000000,""))</f>
        <v/>
      </c>
      <c r="G169" s="35" t="str">
        <f aca="false">IF(F169="","",F169/$B$5)</f>
        <v/>
      </c>
      <c r="H169" s="35" t="str">
        <f aca="false">IF(G169="","",SUM($G$34:G169))</f>
        <v/>
      </c>
      <c r="I169" s="34"/>
    </row>
    <row r="170" customFormat="false" ht="15" hidden="false" customHeight="false" outlineLevel="0" collapsed="false">
      <c r="A170" s="33"/>
      <c r="B170" s="34"/>
      <c r="C170" s="34"/>
      <c r="D170" s="27"/>
      <c r="E170" s="27"/>
      <c r="F170" s="35" t="str">
        <f aca="false">IF(OR(D170="",E170=""),"",IFERROR((D170*INDEX($C$14:$C$16,MATCH(B170,$A$14:$A$16,0))+E170*INDEX($D$14:$D$16,MATCH(B170,$A$14:$A$16,0)))/1000000,""))</f>
        <v/>
      </c>
      <c r="G170" s="35" t="str">
        <f aca="false">IF(F170="","",F170/$B$5)</f>
        <v/>
      </c>
      <c r="H170" s="35" t="str">
        <f aca="false">IF(G170="","",SUM($G$34:G170))</f>
        <v/>
      </c>
      <c r="I170" s="34"/>
    </row>
    <row r="171" customFormat="false" ht="15" hidden="false" customHeight="false" outlineLevel="0" collapsed="false">
      <c r="A171" s="33"/>
      <c r="B171" s="34"/>
      <c r="C171" s="34"/>
      <c r="D171" s="27"/>
      <c r="E171" s="27"/>
      <c r="F171" s="35" t="str">
        <f aca="false">IF(OR(D171="",E171=""),"",IFERROR((D171*INDEX($C$14:$C$16,MATCH(B171,$A$14:$A$16,0))+E171*INDEX($D$14:$D$16,MATCH(B171,$A$14:$A$16,0)))/1000000,""))</f>
        <v/>
      </c>
      <c r="G171" s="35" t="str">
        <f aca="false">IF(F171="","",F171/$B$5)</f>
        <v/>
      </c>
      <c r="H171" s="35" t="str">
        <f aca="false">IF(G171="","",SUM($G$34:G171))</f>
        <v/>
      </c>
      <c r="I171" s="34"/>
    </row>
    <row r="172" customFormat="false" ht="15" hidden="false" customHeight="false" outlineLevel="0" collapsed="false">
      <c r="A172" s="33"/>
      <c r="B172" s="34"/>
      <c r="C172" s="34"/>
      <c r="D172" s="27"/>
      <c r="E172" s="27"/>
      <c r="F172" s="35" t="str">
        <f aca="false">IF(OR(D172="",E172=""),"",IFERROR((D172*INDEX($C$14:$C$16,MATCH(B172,$A$14:$A$16,0))+E172*INDEX($D$14:$D$16,MATCH(B172,$A$14:$A$16,0)))/1000000,""))</f>
        <v/>
      </c>
      <c r="G172" s="35" t="str">
        <f aca="false">IF(F172="","",F172/$B$5)</f>
        <v/>
      </c>
      <c r="H172" s="35" t="str">
        <f aca="false">IF(G172="","",SUM($G$34:G172))</f>
        <v/>
      </c>
      <c r="I172" s="34"/>
    </row>
    <row r="173" customFormat="false" ht="15" hidden="false" customHeight="false" outlineLevel="0" collapsed="false">
      <c r="A173" s="33"/>
      <c r="B173" s="34"/>
      <c r="C173" s="34"/>
      <c r="D173" s="27"/>
      <c r="E173" s="27"/>
      <c r="F173" s="35" t="str">
        <f aca="false">IF(OR(D173="",E173=""),"",IFERROR((D173*INDEX($C$14:$C$16,MATCH(B173,$A$14:$A$16,0))+E173*INDEX($D$14:$D$16,MATCH(B173,$A$14:$A$16,0)))/1000000,""))</f>
        <v/>
      </c>
      <c r="G173" s="35" t="str">
        <f aca="false">IF(F173="","",F173/$B$5)</f>
        <v/>
      </c>
      <c r="H173" s="35" t="str">
        <f aca="false">IF(G173="","",SUM($G$34:G173))</f>
        <v/>
      </c>
      <c r="I173" s="34"/>
    </row>
    <row r="174" customFormat="false" ht="15" hidden="false" customHeight="false" outlineLevel="0" collapsed="false">
      <c r="A174" s="33"/>
      <c r="B174" s="34"/>
      <c r="C174" s="34"/>
      <c r="D174" s="27"/>
      <c r="E174" s="27"/>
      <c r="F174" s="35" t="str">
        <f aca="false">IF(OR(D174="",E174=""),"",IFERROR((D174*INDEX($C$14:$C$16,MATCH(B174,$A$14:$A$16,0))+E174*INDEX($D$14:$D$16,MATCH(B174,$A$14:$A$16,0)))/1000000,""))</f>
        <v/>
      </c>
      <c r="G174" s="35" t="str">
        <f aca="false">IF(F174="","",F174/$B$5)</f>
        <v/>
      </c>
      <c r="H174" s="35" t="str">
        <f aca="false">IF(G174="","",SUM($G$34:G174))</f>
        <v/>
      </c>
      <c r="I174" s="34"/>
    </row>
    <row r="175" customFormat="false" ht="15" hidden="false" customHeight="false" outlineLevel="0" collapsed="false">
      <c r="A175" s="33"/>
      <c r="B175" s="34"/>
      <c r="C175" s="34"/>
      <c r="D175" s="27"/>
      <c r="E175" s="27"/>
      <c r="F175" s="35" t="str">
        <f aca="false">IF(OR(D175="",E175=""),"",IFERROR((D175*INDEX($C$14:$C$16,MATCH(B175,$A$14:$A$16,0))+E175*INDEX($D$14:$D$16,MATCH(B175,$A$14:$A$16,0)))/1000000,""))</f>
        <v/>
      </c>
      <c r="G175" s="35" t="str">
        <f aca="false">IF(F175="","",F175/$B$5)</f>
        <v/>
      </c>
      <c r="H175" s="35" t="str">
        <f aca="false">IF(G175="","",SUM($G$34:G175))</f>
        <v/>
      </c>
      <c r="I175" s="34"/>
    </row>
    <row r="176" customFormat="false" ht="15" hidden="false" customHeight="false" outlineLevel="0" collapsed="false">
      <c r="A176" s="33"/>
      <c r="B176" s="34"/>
      <c r="C176" s="34"/>
      <c r="D176" s="27"/>
      <c r="E176" s="27"/>
      <c r="F176" s="35" t="str">
        <f aca="false">IF(OR(D176="",E176=""),"",IFERROR((D176*INDEX($C$14:$C$16,MATCH(B176,$A$14:$A$16,0))+E176*INDEX($D$14:$D$16,MATCH(B176,$A$14:$A$16,0)))/1000000,""))</f>
        <v/>
      </c>
      <c r="G176" s="35" t="str">
        <f aca="false">IF(F176="","",F176/$B$5)</f>
        <v/>
      </c>
      <c r="H176" s="35" t="str">
        <f aca="false">IF(G176="","",SUM($G$34:G176))</f>
        <v/>
      </c>
      <c r="I176" s="34"/>
    </row>
    <row r="177" customFormat="false" ht="15" hidden="false" customHeight="false" outlineLevel="0" collapsed="false">
      <c r="A177" s="33"/>
      <c r="B177" s="34"/>
      <c r="C177" s="34"/>
      <c r="D177" s="27"/>
      <c r="E177" s="27"/>
      <c r="F177" s="35" t="str">
        <f aca="false">IF(OR(D177="",E177=""),"",IFERROR((D177*INDEX($C$14:$C$16,MATCH(B177,$A$14:$A$16,0))+E177*INDEX($D$14:$D$16,MATCH(B177,$A$14:$A$16,0)))/1000000,""))</f>
        <v/>
      </c>
      <c r="G177" s="35" t="str">
        <f aca="false">IF(F177="","",F177/$B$5)</f>
        <v/>
      </c>
      <c r="H177" s="35" t="str">
        <f aca="false">IF(G177="","",SUM($G$34:G177))</f>
        <v/>
      </c>
      <c r="I177" s="34"/>
    </row>
    <row r="178" customFormat="false" ht="15" hidden="false" customHeight="false" outlineLevel="0" collapsed="false">
      <c r="A178" s="33"/>
      <c r="B178" s="34"/>
      <c r="C178" s="34"/>
      <c r="D178" s="27"/>
      <c r="E178" s="27"/>
      <c r="F178" s="35" t="str">
        <f aca="false">IF(OR(D178="",E178=""),"",IFERROR((D178*INDEX($C$14:$C$16,MATCH(B178,$A$14:$A$16,0))+E178*INDEX($D$14:$D$16,MATCH(B178,$A$14:$A$16,0)))/1000000,""))</f>
        <v/>
      </c>
      <c r="G178" s="35" t="str">
        <f aca="false">IF(F178="","",F178/$B$5)</f>
        <v/>
      </c>
      <c r="H178" s="35" t="str">
        <f aca="false">IF(G178="","",SUM($G$34:G178))</f>
        <v/>
      </c>
      <c r="I178" s="34"/>
    </row>
    <row r="179" customFormat="false" ht="15" hidden="false" customHeight="false" outlineLevel="0" collapsed="false">
      <c r="A179" s="33"/>
      <c r="B179" s="34"/>
      <c r="C179" s="34"/>
      <c r="D179" s="27"/>
      <c r="E179" s="27"/>
      <c r="F179" s="35" t="str">
        <f aca="false">IF(OR(D179="",E179=""),"",IFERROR((D179*INDEX($C$14:$C$16,MATCH(B179,$A$14:$A$16,0))+E179*INDEX($D$14:$D$16,MATCH(B179,$A$14:$A$16,0)))/1000000,""))</f>
        <v/>
      </c>
      <c r="G179" s="35" t="str">
        <f aca="false">IF(F179="","",F179/$B$5)</f>
        <v/>
      </c>
      <c r="H179" s="35" t="str">
        <f aca="false">IF(G179="","",SUM($G$34:G179))</f>
        <v/>
      </c>
      <c r="I179" s="34"/>
    </row>
    <row r="180" customFormat="false" ht="15" hidden="false" customHeight="false" outlineLevel="0" collapsed="false">
      <c r="A180" s="33"/>
      <c r="B180" s="34"/>
      <c r="C180" s="34"/>
      <c r="D180" s="27"/>
      <c r="E180" s="27"/>
      <c r="F180" s="35" t="str">
        <f aca="false">IF(OR(D180="",E180=""),"",IFERROR((D180*INDEX($C$14:$C$16,MATCH(B180,$A$14:$A$16,0))+E180*INDEX($D$14:$D$16,MATCH(B180,$A$14:$A$16,0)))/1000000,""))</f>
        <v/>
      </c>
      <c r="G180" s="35" t="str">
        <f aca="false">IF(F180="","",F180/$B$5)</f>
        <v/>
      </c>
      <c r="H180" s="35" t="str">
        <f aca="false">IF(G180="","",SUM($G$34:G180))</f>
        <v/>
      </c>
      <c r="I180" s="34"/>
    </row>
    <row r="181" customFormat="false" ht="15" hidden="false" customHeight="false" outlineLevel="0" collapsed="false">
      <c r="A181" s="33"/>
      <c r="B181" s="34"/>
      <c r="C181" s="34"/>
      <c r="D181" s="27"/>
      <c r="E181" s="27"/>
      <c r="F181" s="35" t="str">
        <f aca="false">IF(OR(D181="",E181=""),"",IFERROR((D181*INDEX($C$14:$C$16,MATCH(B181,$A$14:$A$16,0))+E181*INDEX($D$14:$D$16,MATCH(B181,$A$14:$A$16,0)))/1000000,""))</f>
        <v/>
      </c>
      <c r="G181" s="35" t="str">
        <f aca="false">IF(F181="","",F181/$B$5)</f>
        <v/>
      </c>
      <c r="H181" s="35" t="str">
        <f aca="false">IF(G181="","",SUM($G$34:G181))</f>
        <v/>
      </c>
      <c r="I181" s="34"/>
    </row>
    <row r="182" customFormat="false" ht="15" hidden="false" customHeight="false" outlineLevel="0" collapsed="false">
      <c r="A182" s="33"/>
      <c r="B182" s="34"/>
      <c r="C182" s="34"/>
      <c r="D182" s="27"/>
      <c r="E182" s="27"/>
      <c r="F182" s="35" t="str">
        <f aca="false">IF(OR(D182="",E182=""),"",IFERROR((D182*INDEX($C$14:$C$16,MATCH(B182,$A$14:$A$16,0))+E182*INDEX($D$14:$D$16,MATCH(B182,$A$14:$A$16,0)))/1000000,""))</f>
        <v/>
      </c>
      <c r="G182" s="35" t="str">
        <f aca="false">IF(F182="","",F182/$B$5)</f>
        <v/>
      </c>
      <c r="H182" s="35" t="str">
        <f aca="false">IF(G182="","",SUM($G$34:G182))</f>
        <v/>
      </c>
      <c r="I182" s="34"/>
    </row>
    <row r="183" customFormat="false" ht="15" hidden="false" customHeight="false" outlineLevel="0" collapsed="false">
      <c r="A183" s="33"/>
      <c r="B183" s="34"/>
      <c r="C183" s="34"/>
      <c r="D183" s="27"/>
      <c r="E183" s="27"/>
      <c r="F183" s="35" t="str">
        <f aca="false">IF(OR(D183="",E183=""),"",IFERROR((D183*INDEX($C$14:$C$16,MATCH(B183,$A$14:$A$16,0))+E183*INDEX($D$14:$D$16,MATCH(B183,$A$14:$A$16,0)))/1000000,""))</f>
        <v/>
      </c>
      <c r="G183" s="35" t="str">
        <f aca="false">IF(F183="","",F183/$B$5)</f>
        <v/>
      </c>
      <c r="H183" s="35" t="str">
        <f aca="false">IF(G183="","",SUM($G$34:G183))</f>
        <v/>
      </c>
      <c r="I183" s="34"/>
    </row>
    <row r="184" customFormat="false" ht="15" hidden="false" customHeight="false" outlineLevel="0" collapsed="false">
      <c r="A184" s="33"/>
      <c r="B184" s="34"/>
      <c r="C184" s="34"/>
      <c r="D184" s="27"/>
      <c r="E184" s="27"/>
      <c r="F184" s="35" t="str">
        <f aca="false">IF(OR(D184="",E184=""),"",IFERROR((D184*INDEX($C$14:$C$16,MATCH(B184,$A$14:$A$16,0))+E184*INDEX($D$14:$D$16,MATCH(B184,$A$14:$A$16,0)))/1000000,""))</f>
        <v/>
      </c>
      <c r="G184" s="35" t="str">
        <f aca="false">IF(F184="","",F184/$B$5)</f>
        <v/>
      </c>
      <c r="H184" s="35" t="str">
        <f aca="false">IF(G184="","",SUM($G$34:G184))</f>
        <v/>
      </c>
      <c r="I184" s="34"/>
    </row>
    <row r="185" customFormat="false" ht="15" hidden="false" customHeight="false" outlineLevel="0" collapsed="false">
      <c r="A185" s="33"/>
      <c r="B185" s="34"/>
      <c r="C185" s="34"/>
      <c r="D185" s="27"/>
      <c r="E185" s="27"/>
      <c r="F185" s="35" t="str">
        <f aca="false">IF(OR(D185="",E185=""),"",IFERROR((D185*INDEX($C$14:$C$16,MATCH(B185,$A$14:$A$16,0))+E185*INDEX($D$14:$D$16,MATCH(B185,$A$14:$A$16,0)))/1000000,""))</f>
        <v/>
      </c>
      <c r="G185" s="35" t="str">
        <f aca="false">IF(F185="","",F185/$B$5)</f>
        <v/>
      </c>
      <c r="H185" s="35" t="str">
        <f aca="false">IF(G185="","",SUM($G$34:G185))</f>
        <v/>
      </c>
      <c r="I185" s="34"/>
    </row>
    <row r="186" customFormat="false" ht="15" hidden="false" customHeight="false" outlineLevel="0" collapsed="false">
      <c r="A186" s="33"/>
      <c r="B186" s="34"/>
      <c r="C186" s="34"/>
      <c r="D186" s="27"/>
      <c r="E186" s="27"/>
      <c r="F186" s="35" t="str">
        <f aca="false">IF(OR(D186="",E186=""),"",IFERROR((D186*INDEX($C$14:$C$16,MATCH(B186,$A$14:$A$16,0))+E186*INDEX($D$14:$D$16,MATCH(B186,$A$14:$A$16,0)))/1000000,""))</f>
        <v/>
      </c>
      <c r="G186" s="35" t="str">
        <f aca="false">IF(F186="","",F186/$B$5)</f>
        <v/>
      </c>
      <c r="H186" s="35" t="str">
        <f aca="false">IF(G186="","",SUM($G$34:G186))</f>
        <v/>
      </c>
      <c r="I186" s="34"/>
    </row>
    <row r="187" customFormat="false" ht="15" hidden="false" customHeight="false" outlineLevel="0" collapsed="false">
      <c r="A187" s="33"/>
      <c r="B187" s="34"/>
      <c r="C187" s="34"/>
      <c r="D187" s="27"/>
      <c r="E187" s="27"/>
      <c r="F187" s="35" t="str">
        <f aca="false">IF(OR(D187="",E187=""),"",IFERROR((D187*INDEX($C$14:$C$16,MATCH(B187,$A$14:$A$16,0))+E187*INDEX($D$14:$D$16,MATCH(B187,$A$14:$A$16,0)))/1000000,""))</f>
        <v/>
      </c>
      <c r="G187" s="35" t="str">
        <f aca="false">IF(F187="","",F187/$B$5)</f>
        <v/>
      </c>
      <c r="H187" s="35" t="str">
        <f aca="false">IF(G187="","",SUM($G$34:G187))</f>
        <v/>
      </c>
      <c r="I187" s="34"/>
    </row>
    <row r="188" customFormat="false" ht="15" hidden="false" customHeight="false" outlineLevel="0" collapsed="false">
      <c r="A188" s="33"/>
      <c r="B188" s="34"/>
      <c r="C188" s="34"/>
      <c r="D188" s="27"/>
      <c r="E188" s="27"/>
      <c r="F188" s="35" t="str">
        <f aca="false">IF(OR(D188="",E188=""),"",IFERROR((D188*INDEX($C$14:$C$16,MATCH(B188,$A$14:$A$16,0))+E188*INDEX($D$14:$D$16,MATCH(B188,$A$14:$A$16,0)))/1000000,""))</f>
        <v/>
      </c>
      <c r="G188" s="35" t="str">
        <f aca="false">IF(F188="","",F188/$B$5)</f>
        <v/>
      </c>
      <c r="H188" s="35" t="str">
        <f aca="false">IF(G188="","",SUM($G$34:G188))</f>
        <v/>
      </c>
      <c r="I188" s="34"/>
    </row>
    <row r="189" customFormat="false" ht="15" hidden="false" customHeight="false" outlineLevel="0" collapsed="false">
      <c r="A189" s="33"/>
      <c r="B189" s="34"/>
      <c r="C189" s="34"/>
      <c r="D189" s="27"/>
      <c r="E189" s="27"/>
      <c r="F189" s="35" t="str">
        <f aca="false">IF(OR(D189="",E189=""),"",IFERROR((D189*INDEX($C$14:$C$16,MATCH(B189,$A$14:$A$16,0))+E189*INDEX($D$14:$D$16,MATCH(B189,$A$14:$A$16,0)))/1000000,""))</f>
        <v/>
      </c>
      <c r="G189" s="35" t="str">
        <f aca="false">IF(F189="","",F189/$B$5)</f>
        <v/>
      </c>
      <c r="H189" s="35" t="str">
        <f aca="false">IF(G189="","",SUM($G$34:G189))</f>
        <v/>
      </c>
      <c r="I189" s="34"/>
    </row>
    <row r="190" customFormat="false" ht="15" hidden="false" customHeight="false" outlineLevel="0" collapsed="false">
      <c r="A190" s="33"/>
      <c r="B190" s="34"/>
      <c r="C190" s="34"/>
      <c r="D190" s="27"/>
      <c r="E190" s="27"/>
      <c r="F190" s="35" t="str">
        <f aca="false">IF(OR(D190="",E190=""),"",IFERROR((D190*INDEX($C$14:$C$16,MATCH(B190,$A$14:$A$16,0))+E190*INDEX($D$14:$D$16,MATCH(B190,$A$14:$A$16,0)))/1000000,""))</f>
        <v/>
      </c>
      <c r="G190" s="35" t="str">
        <f aca="false">IF(F190="","",F190/$B$5)</f>
        <v/>
      </c>
      <c r="H190" s="35" t="str">
        <f aca="false">IF(G190="","",SUM($G$34:G190))</f>
        <v/>
      </c>
      <c r="I190" s="34"/>
    </row>
    <row r="191" customFormat="false" ht="15" hidden="false" customHeight="false" outlineLevel="0" collapsed="false">
      <c r="A191" s="33"/>
      <c r="B191" s="34"/>
      <c r="C191" s="34"/>
      <c r="D191" s="27"/>
      <c r="E191" s="27"/>
      <c r="F191" s="35" t="str">
        <f aca="false">IF(OR(D191="",E191=""),"",IFERROR((D191*INDEX($C$14:$C$16,MATCH(B191,$A$14:$A$16,0))+E191*INDEX($D$14:$D$16,MATCH(B191,$A$14:$A$16,0)))/1000000,""))</f>
        <v/>
      </c>
      <c r="G191" s="35" t="str">
        <f aca="false">IF(F191="","",F191/$B$5)</f>
        <v/>
      </c>
      <c r="H191" s="35" t="str">
        <f aca="false">IF(G191="","",SUM($G$34:G191))</f>
        <v/>
      </c>
      <c r="I191" s="34"/>
    </row>
    <row r="192" customFormat="false" ht="15" hidden="false" customHeight="false" outlineLevel="0" collapsed="false">
      <c r="A192" s="33"/>
      <c r="B192" s="34"/>
      <c r="C192" s="34"/>
      <c r="D192" s="27"/>
      <c r="E192" s="27"/>
      <c r="F192" s="35" t="str">
        <f aca="false">IF(OR(D192="",E192=""),"",IFERROR((D192*INDEX($C$14:$C$16,MATCH(B192,$A$14:$A$16,0))+E192*INDEX($D$14:$D$16,MATCH(B192,$A$14:$A$16,0)))/1000000,""))</f>
        <v/>
      </c>
      <c r="G192" s="35" t="str">
        <f aca="false">IF(F192="","",F192/$B$5)</f>
        <v/>
      </c>
      <c r="H192" s="35" t="str">
        <f aca="false">IF(G192="","",SUM($G$34:G192))</f>
        <v/>
      </c>
      <c r="I192" s="34"/>
    </row>
    <row r="193" customFormat="false" ht="15" hidden="false" customHeight="false" outlineLevel="0" collapsed="false">
      <c r="A193" s="33"/>
      <c r="B193" s="34"/>
      <c r="C193" s="34"/>
      <c r="D193" s="27"/>
      <c r="E193" s="27"/>
      <c r="F193" s="35" t="str">
        <f aca="false">IF(OR(D193="",E193=""),"",IFERROR((D193*INDEX($C$14:$C$16,MATCH(B193,$A$14:$A$16,0))+E193*INDEX($D$14:$D$16,MATCH(B193,$A$14:$A$16,0)))/1000000,""))</f>
        <v/>
      </c>
      <c r="G193" s="35" t="str">
        <f aca="false">IF(F193="","",F193/$B$5)</f>
        <v/>
      </c>
      <c r="H193" s="35" t="str">
        <f aca="false">IF(G193="","",SUM($G$34:G193))</f>
        <v/>
      </c>
      <c r="I193" s="34"/>
    </row>
    <row r="194" customFormat="false" ht="15" hidden="false" customHeight="false" outlineLevel="0" collapsed="false">
      <c r="A194" s="33"/>
      <c r="B194" s="34"/>
      <c r="C194" s="34"/>
      <c r="D194" s="27"/>
      <c r="E194" s="27"/>
      <c r="F194" s="35" t="str">
        <f aca="false">IF(OR(D194="",E194=""),"",IFERROR((D194*INDEX($C$14:$C$16,MATCH(B194,$A$14:$A$16,0))+E194*INDEX($D$14:$D$16,MATCH(B194,$A$14:$A$16,0)))/1000000,""))</f>
        <v/>
      </c>
      <c r="G194" s="35" t="str">
        <f aca="false">IF(F194="","",F194/$B$5)</f>
        <v/>
      </c>
      <c r="H194" s="35" t="str">
        <f aca="false">IF(G194="","",SUM($G$34:G194))</f>
        <v/>
      </c>
      <c r="I194" s="34"/>
    </row>
    <row r="195" customFormat="false" ht="15" hidden="false" customHeight="false" outlineLevel="0" collapsed="false">
      <c r="A195" s="33"/>
      <c r="B195" s="34"/>
      <c r="C195" s="34"/>
      <c r="D195" s="27"/>
      <c r="E195" s="27"/>
      <c r="F195" s="35" t="str">
        <f aca="false">IF(OR(D195="",E195=""),"",IFERROR((D195*INDEX($C$14:$C$16,MATCH(B195,$A$14:$A$16,0))+E195*INDEX($D$14:$D$16,MATCH(B195,$A$14:$A$16,0)))/1000000,""))</f>
        <v/>
      </c>
      <c r="G195" s="35" t="str">
        <f aca="false">IF(F195="","",F195/$B$5)</f>
        <v/>
      </c>
      <c r="H195" s="35" t="str">
        <f aca="false">IF(G195="","",SUM($G$34:G195))</f>
        <v/>
      </c>
      <c r="I195" s="34"/>
    </row>
    <row r="196" customFormat="false" ht="15" hidden="false" customHeight="false" outlineLevel="0" collapsed="false">
      <c r="A196" s="33"/>
      <c r="B196" s="34"/>
      <c r="C196" s="34"/>
      <c r="D196" s="27"/>
      <c r="E196" s="27"/>
      <c r="F196" s="35" t="str">
        <f aca="false">IF(OR(D196="",E196=""),"",IFERROR((D196*INDEX($C$14:$C$16,MATCH(B196,$A$14:$A$16,0))+E196*INDEX($D$14:$D$16,MATCH(B196,$A$14:$A$16,0)))/1000000,""))</f>
        <v/>
      </c>
      <c r="G196" s="35" t="str">
        <f aca="false">IF(F196="","",F196/$B$5)</f>
        <v/>
      </c>
      <c r="H196" s="35" t="str">
        <f aca="false">IF(G196="","",SUM($G$34:G196))</f>
        <v/>
      </c>
      <c r="I196" s="34"/>
    </row>
    <row r="197" customFormat="false" ht="15" hidden="false" customHeight="false" outlineLevel="0" collapsed="false">
      <c r="A197" s="33"/>
      <c r="B197" s="34"/>
      <c r="C197" s="34"/>
      <c r="D197" s="27"/>
      <c r="E197" s="27"/>
      <c r="F197" s="35" t="str">
        <f aca="false">IF(OR(D197="",E197=""),"",IFERROR((D197*INDEX($C$14:$C$16,MATCH(B197,$A$14:$A$16,0))+E197*INDEX($D$14:$D$16,MATCH(B197,$A$14:$A$16,0)))/1000000,""))</f>
        <v/>
      </c>
      <c r="G197" s="35" t="str">
        <f aca="false">IF(F197="","",F197/$B$5)</f>
        <v/>
      </c>
      <c r="H197" s="35" t="str">
        <f aca="false">IF(G197="","",SUM($G$34:G197))</f>
        <v/>
      </c>
      <c r="I197" s="34"/>
    </row>
    <row r="198" customFormat="false" ht="15" hidden="false" customHeight="false" outlineLevel="0" collapsed="false">
      <c r="A198" s="33"/>
      <c r="B198" s="34"/>
      <c r="C198" s="34"/>
      <c r="D198" s="27"/>
      <c r="E198" s="27"/>
      <c r="F198" s="35" t="str">
        <f aca="false">IF(OR(D198="",E198=""),"",IFERROR((D198*INDEX($C$14:$C$16,MATCH(B198,$A$14:$A$16,0))+E198*INDEX($D$14:$D$16,MATCH(B198,$A$14:$A$16,0)))/1000000,""))</f>
        <v/>
      </c>
      <c r="G198" s="35" t="str">
        <f aca="false">IF(F198="","",F198/$B$5)</f>
        <v/>
      </c>
      <c r="H198" s="35" t="str">
        <f aca="false">IF(G198="","",SUM($G$34:G198))</f>
        <v/>
      </c>
      <c r="I198" s="34"/>
    </row>
    <row r="199" customFormat="false" ht="15" hidden="false" customHeight="false" outlineLevel="0" collapsed="false">
      <c r="A199" s="33"/>
      <c r="B199" s="34"/>
      <c r="C199" s="34"/>
      <c r="D199" s="27"/>
      <c r="E199" s="27"/>
      <c r="F199" s="35" t="str">
        <f aca="false">IF(OR(D199="",E199=""),"",IFERROR((D199*INDEX($C$14:$C$16,MATCH(B199,$A$14:$A$16,0))+E199*INDEX($D$14:$D$16,MATCH(B199,$A$14:$A$16,0)))/1000000,""))</f>
        <v/>
      </c>
      <c r="G199" s="35" t="str">
        <f aca="false">IF(F199="","",F199/$B$5)</f>
        <v/>
      </c>
      <c r="H199" s="35" t="str">
        <f aca="false">IF(G199="","",SUM($G$34:G199))</f>
        <v/>
      </c>
      <c r="I199" s="34"/>
    </row>
    <row r="200" customFormat="false" ht="15" hidden="false" customHeight="false" outlineLevel="0" collapsed="false">
      <c r="A200" s="33"/>
      <c r="B200" s="34"/>
      <c r="C200" s="34"/>
      <c r="D200" s="27"/>
      <c r="E200" s="27"/>
      <c r="F200" s="35" t="str">
        <f aca="false">IF(OR(D200="",E200=""),"",IFERROR((D200*INDEX($C$14:$C$16,MATCH(B200,$A$14:$A$16,0))+E200*INDEX($D$14:$D$16,MATCH(B200,$A$14:$A$16,0)))/1000000,""))</f>
        <v/>
      </c>
      <c r="G200" s="35" t="str">
        <f aca="false">IF(F200="","",F200/$B$5)</f>
        <v/>
      </c>
      <c r="H200" s="35" t="str">
        <f aca="false">IF(G200="","",SUM($G$34:G200))</f>
        <v/>
      </c>
      <c r="I200" s="34"/>
    </row>
    <row r="201" customFormat="false" ht="15" hidden="false" customHeight="false" outlineLevel="0" collapsed="false">
      <c r="A201" s="33"/>
      <c r="B201" s="34"/>
      <c r="C201" s="34"/>
      <c r="D201" s="27"/>
      <c r="E201" s="27"/>
      <c r="F201" s="35" t="str">
        <f aca="false">IF(OR(D201="",E201=""),"",IFERROR((D201*INDEX($C$14:$C$16,MATCH(B201,$A$14:$A$16,0))+E201*INDEX($D$14:$D$16,MATCH(B201,$A$14:$A$16,0)))/1000000,""))</f>
        <v/>
      </c>
      <c r="G201" s="35" t="str">
        <f aca="false">IF(F201="","",F201/$B$5)</f>
        <v/>
      </c>
      <c r="H201" s="35" t="str">
        <f aca="false">IF(G201="","",SUM($G$34:G201))</f>
        <v/>
      </c>
      <c r="I201" s="34"/>
    </row>
    <row r="202" customFormat="false" ht="15" hidden="false" customHeight="false" outlineLevel="0" collapsed="false">
      <c r="A202" s="33"/>
      <c r="B202" s="34"/>
      <c r="C202" s="34"/>
      <c r="D202" s="27"/>
      <c r="E202" s="27"/>
      <c r="F202" s="35" t="str">
        <f aca="false">IF(OR(D202="",E202=""),"",IFERROR((D202*INDEX($C$14:$C$16,MATCH(B202,$A$14:$A$16,0))+E202*INDEX($D$14:$D$16,MATCH(B202,$A$14:$A$16,0)))/1000000,""))</f>
        <v/>
      </c>
      <c r="G202" s="35" t="str">
        <f aca="false">IF(F202="","",F202/$B$5)</f>
        <v/>
      </c>
      <c r="H202" s="35" t="str">
        <f aca="false">IF(G202="","",SUM($G$34:G202))</f>
        <v/>
      </c>
      <c r="I202" s="34"/>
    </row>
    <row r="203" customFormat="false" ht="15" hidden="false" customHeight="false" outlineLevel="0" collapsed="false">
      <c r="A203" s="33"/>
      <c r="B203" s="34"/>
      <c r="C203" s="34"/>
      <c r="D203" s="27"/>
      <c r="E203" s="27"/>
      <c r="F203" s="35" t="str">
        <f aca="false">IF(OR(D203="",E203=""),"",IFERROR((D203*INDEX($C$14:$C$16,MATCH(B203,$A$14:$A$16,0))+E203*INDEX($D$14:$D$16,MATCH(B203,$A$14:$A$16,0)))/1000000,""))</f>
        <v/>
      </c>
      <c r="G203" s="35" t="str">
        <f aca="false">IF(F203="","",F203/$B$5)</f>
        <v/>
      </c>
      <c r="H203" s="35" t="str">
        <f aca="false">IF(G203="","",SUM($G$34:G203))</f>
        <v/>
      </c>
      <c r="I203" s="34"/>
    </row>
    <row r="204" customFormat="false" ht="15" hidden="false" customHeight="false" outlineLevel="0" collapsed="false">
      <c r="A204" s="33"/>
      <c r="B204" s="34"/>
      <c r="C204" s="34"/>
      <c r="D204" s="27"/>
      <c r="E204" s="27"/>
      <c r="F204" s="35" t="str">
        <f aca="false">IF(OR(D204="",E204=""),"",IFERROR((D204*INDEX($C$14:$C$16,MATCH(B204,$A$14:$A$16,0))+E204*INDEX($D$14:$D$16,MATCH(B204,$A$14:$A$16,0)))/1000000,""))</f>
        <v/>
      </c>
      <c r="G204" s="35" t="str">
        <f aca="false">IF(F204="","",F204/$B$5)</f>
        <v/>
      </c>
      <c r="H204" s="35" t="str">
        <f aca="false">IF(G204="","",SUM($G$34:G204))</f>
        <v/>
      </c>
      <c r="I204" s="34"/>
    </row>
    <row r="205" customFormat="false" ht="15" hidden="false" customHeight="false" outlineLevel="0" collapsed="false">
      <c r="A205" s="33"/>
      <c r="B205" s="34"/>
      <c r="C205" s="34"/>
      <c r="D205" s="27"/>
      <c r="E205" s="27"/>
      <c r="F205" s="35" t="str">
        <f aca="false">IF(OR(D205="",E205=""),"",IFERROR((D205*INDEX($C$14:$C$16,MATCH(B205,$A$14:$A$16,0))+E205*INDEX($D$14:$D$16,MATCH(B205,$A$14:$A$16,0)))/1000000,""))</f>
        <v/>
      </c>
      <c r="G205" s="35" t="str">
        <f aca="false">IF(F205="","",F205/$B$5)</f>
        <v/>
      </c>
      <c r="H205" s="35" t="str">
        <f aca="false">IF(G205="","",SUM($G$34:G205))</f>
        <v/>
      </c>
      <c r="I205" s="34"/>
    </row>
    <row r="206" customFormat="false" ht="15" hidden="false" customHeight="false" outlineLevel="0" collapsed="false">
      <c r="A206" s="33"/>
      <c r="B206" s="34"/>
      <c r="C206" s="34"/>
      <c r="D206" s="27"/>
      <c r="E206" s="27"/>
      <c r="F206" s="35" t="str">
        <f aca="false">IF(OR(D206="",E206=""),"",IFERROR((D206*INDEX($C$14:$C$16,MATCH(B206,$A$14:$A$16,0))+E206*INDEX($D$14:$D$16,MATCH(B206,$A$14:$A$16,0)))/1000000,""))</f>
        <v/>
      </c>
      <c r="G206" s="35" t="str">
        <f aca="false">IF(F206="","",F206/$B$5)</f>
        <v/>
      </c>
      <c r="H206" s="35" t="str">
        <f aca="false">IF(G206="","",SUM($G$34:G206))</f>
        <v/>
      </c>
      <c r="I206" s="34"/>
    </row>
    <row r="207" customFormat="false" ht="15" hidden="false" customHeight="false" outlineLevel="0" collapsed="false">
      <c r="A207" s="33"/>
      <c r="B207" s="34"/>
      <c r="C207" s="34"/>
      <c r="D207" s="27"/>
      <c r="E207" s="27"/>
      <c r="F207" s="35" t="str">
        <f aca="false">IF(OR(D207="",E207=""),"",IFERROR((D207*INDEX($C$14:$C$16,MATCH(B207,$A$14:$A$16,0))+E207*INDEX($D$14:$D$16,MATCH(B207,$A$14:$A$16,0)))/1000000,""))</f>
        <v/>
      </c>
      <c r="G207" s="35" t="str">
        <f aca="false">IF(F207="","",F207/$B$5)</f>
        <v/>
      </c>
      <c r="H207" s="35" t="str">
        <f aca="false">IF(G207="","",SUM($G$34:G207))</f>
        <v/>
      </c>
      <c r="I207" s="34"/>
    </row>
    <row r="208" customFormat="false" ht="15" hidden="false" customHeight="false" outlineLevel="0" collapsed="false">
      <c r="A208" s="33"/>
      <c r="B208" s="34"/>
      <c r="C208" s="34"/>
      <c r="D208" s="27"/>
      <c r="E208" s="27"/>
      <c r="F208" s="35" t="str">
        <f aca="false">IF(OR(D208="",E208=""),"",IFERROR((D208*INDEX($C$14:$C$16,MATCH(B208,$A$14:$A$16,0))+E208*INDEX($D$14:$D$16,MATCH(B208,$A$14:$A$16,0)))/1000000,""))</f>
        <v/>
      </c>
      <c r="G208" s="35" t="str">
        <f aca="false">IF(F208="","",F208/$B$5)</f>
        <v/>
      </c>
      <c r="H208" s="35" t="str">
        <f aca="false">IF(G208="","",SUM($G$34:G208))</f>
        <v/>
      </c>
      <c r="I208" s="34"/>
    </row>
    <row r="209" customFormat="false" ht="15" hidden="false" customHeight="false" outlineLevel="0" collapsed="false">
      <c r="A209" s="33"/>
      <c r="B209" s="34"/>
      <c r="C209" s="34"/>
      <c r="D209" s="27"/>
      <c r="E209" s="27"/>
      <c r="F209" s="35" t="str">
        <f aca="false">IF(OR(D209="",E209=""),"",IFERROR((D209*INDEX($C$14:$C$16,MATCH(B209,$A$14:$A$16,0))+E209*INDEX($D$14:$D$16,MATCH(B209,$A$14:$A$16,0)))/1000000,""))</f>
        <v/>
      </c>
      <c r="G209" s="35" t="str">
        <f aca="false">IF(F209="","",F209/$B$5)</f>
        <v/>
      </c>
      <c r="H209" s="35" t="str">
        <f aca="false">IF(G209="","",SUM($G$34:G209))</f>
        <v/>
      </c>
      <c r="I209" s="34"/>
    </row>
    <row r="210" customFormat="false" ht="15" hidden="false" customHeight="false" outlineLevel="0" collapsed="false">
      <c r="A210" s="33"/>
      <c r="B210" s="34"/>
      <c r="C210" s="34"/>
      <c r="D210" s="27"/>
      <c r="E210" s="27"/>
      <c r="F210" s="35" t="str">
        <f aca="false">IF(OR(D210="",E210=""),"",IFERROR((D210*INDEX($C$14:$C$16,MATCH(B210,$A$14:$A$16,0))+E210*INDEX($D$14:$D$16,MATCH(B210,$A$14:$A$16,0)))/1000000,""))</f>
        <v/>
      </c>
      <c r="G210" s="35" t="str">
        <f aca="false">IF(F210="","",F210/$B$5)</f>
        <v/>
      </c>
      <c r="H210" s="35" t="str">
        <f aca="false">IF(G210="","",SUM($G$34:G210))</f>
        <v/>
      </c>
      <c r="I210" s="34"/>
    </row>
    <row r="211" customFormat="false" ht="15" hidden="false" customHeight="false" outlineLevel="0" collapsed="false">
      <c r="A211" s="33"/>
      <c r="B211" s="34"/>
      <c r="C211" s="34"/>
      <c r="D211" s="27"/>
      <c r="E211" s="27"/>
      <c r="F211" s="35" t="str">
        <f aca="false">IF(OR(D211="",E211=""),"",IFERROR((D211*INDEX($C$14:$C$16,MATCH(B211,$A$14:$A$16,0))+E211*INDEX($D$14:$D$16,MATCH(B211,$A$14:$A$16,0)))/1000000,""))</f>
        <v/>
      </c>
      <c r="G211" s="35" t="str">
        <f aca="false">IF(F211="","",F211/$B$5)</f>
        <v/>
      </c>
      <c r="H211" s="35" t="str">
        <f aca="false">IF(G211="","",SUM($G$34:G211))</f>
        <v/>
      </c>
      <c r="I211" s="34"/>
    </row>
    <row r="212" customFormat="false" ht="15" hidden="false" customHeight="false" outlineLevel="0" collapsed="false">
      <c r="A212" s="33"/>
      <c r="B212" s="34"/>
      <c r="C212" s="34"/>
      <c r="D212" s="27"/>
      <c r="E212" s="27"/>
      <c r="F212" s="35" t="str">
        <f aca="false">IF(OR(D212="",E212=""),"",IFERROR((D212*INDEX($C$14:$C$16,MATCH(B212,$A$14:$A$16,0))+E212*INDEX($D$14:$D$16,MATCH(B212,$A$14:$A$16,0)))/1000000,""))</f>
        <v/>
      </c>
      <c r="G212" s="35" t="str">
        <f aca="false">IF(F212="","",F212/$B$5)</f>
        <v/>
      </c>
      <c r="H212" s="35" t="str">
        <f aca="false">IF(G212="","",SUM($G$34:G212))</f>
        <v/>
      </c>
      <c r="I212" s="34"/>
    </row>
    <row r="213" customFormat="false" ht="15" hidden="false" customHeight="false" outlineLevel="0" collapsed="false">
      <c r="A213" s="33"/>
      <c r="B213" s="34"/>
      <c r="C213" s="34"/>
      <c r="D213" s="27"/>
      <c r="E213" s="27"/>
      <c r="F213" s="35" t="str">
        <f aca="false">IF(OR(D213="",E213=""),"",IFERROR((D213*INDEX($C$14:$C$16,MATCH(B213,$A$14:$A$16,0))+E213*INDEX($D$14:$D$16,MATCH(B213,$A$14:$A$16,0)))/1000000,""))</f>
        <v/>
      </c>
      <c r="G213" s="35" t="str">
        <f aca="false">IF(F213="","",F213/$B$5)</f>
        <v/>
      </c>
      <c r="H213" s="35" t="str">
        <f aca="false">IF(G213="","",SUM($G$34:G213))</f>
        <v/>
      </c>
      <c r="I213" s="34"/>
    </row>
    <row r="214" customFormat="false" ht="15" hidden="false" customHeight="false" outlineLevel="0" collapsed="false">
      <c r="A214" s="33"/>
      <c r="B214" s="34"/>
      <c r="C214" s="34"/>
      <c r="D214" s="27"/>
      <c r="E214" s="27"/>
      <c r="F214" s="35" t="str">
        <f aca="false">IF(OR(D214="",E214=""),"",IFERROR((D214*INDEX($C$14:$C$16,MATCH(B214,$A$14:$A$16,0))+E214*INDEX($D$14:$D$16,MATCH(B214,$A$14:$A$16,0)))/1000000,""))</f>
        <v/>
      </c>
      <c r="G214" s="35" t="str">
        <f aca="false">IF(F214="","",F214/$B$5)</f>
        <v/>
      </c>
      <c r="H214" s="35" t="str">
        <f aca="false">IF(G214="","",SUM($G$34:G214))</f>
        <v/>
      </c>
      <c r="I214" s="34"/>
    </row>
    <row r="215" customFormat="false" ht="15" hidden="false" customHeight="false" outlineLevel="0" collapsed="false">
      <c r="A215" s="33"/>
      <c r="B215" s="34"/>
      <c r="C215" s="34"/>
      <c r="D215" s="27"/>
      <c r="E215" s="27"/>
      <c r="F215" s="35" t="str">
        <f aca="false">IF(OR(D215="",E215=""),"",IFERROR((D215*INDEX($C$14:$C$16,MATCH(B215,$A$14:$A$16,0))+E215*INDEX($D$14:$D$16,MATCH(B215,$A$14:$A$16,0)))/1000000,""))</f>
        <v/>
      </c>
      <c r="G215" s="35" t="str">
        <f aca="false">IF(F215="","",F215/$B$5)</f>
        <v/>
      </c>
      <c r="H215" s="35" t="str">
        <f aca="false">IF(G215="","",SUM($G$34:G215))</f>
        <v/>
      </c>
      <c r="I215" s="34"/>
    </row>
    <row r="216" customFormat="false" ht="15" hidden="false" customHeight="false" outlineLevel="0" collapsed="false">
      <c r="A216" s="33"/>
      <c r="B216" s="34"/>
      <c r="C216" s="34"/>
      <c r="D216" s="27"/>
      <c r="E216" s="27"/>
      <c r="F216" s="35" t="str">
        <f aca="false">IF(OR(D216="",E216=""),"",IFERROR((D216*INDEX($C$14:$C$16,MATCH(B216,$A$14:$A$16,0))+E216*INDEX($D$14:$D$16,MATCH(B216,$A$14:$A$16,0)))/1000000,""))</f>
        <v/>
      </c>
      <c r="G216" s="35" t="str">
        <f aca="false">IF(F216="","",F216/$B$5)</f>
        <v/>
      </c>
      <c r="H216" s="35" t="str">
        <f aca="false">IF(G216="","",SUM($G$34:G216))</f>
        <v/>
      </c>
      <c r="I216" s="34"/>
    </row>
    <row r="217" customFormat="false" ht="15" hidden="false" customHeight="false" outlineLevel="0" collapsed="false">
      <c r="A217" s="33"/>
      <c r="B217" s="34"/>
      <c r="C217" s="34"/>
      <c r="D217" s="27"/>
      <c r="E217" s="27"/>
      <c r="F217" s="35" t="str">
        <f aca="false">IF(OR(D217="",E217=""),"",IFERROR((D217*INDEX($C$14:$C$16,MATCH(B217,$A$14:$A$16,0))+E217*INDEX($D$14:$D$16,MATCH(B217,$A$14:$A$16,0)))/1000000,""))</f>
        <v/>
      </c>
      <c r="G217" s="35" t="str">
        <f aca="false">IF(F217="","",F217/$B$5)</f>
        <v/>
      </c>
      <c r="H217" s="35" t="str">
        <f aca="false">IF(G217="","",SUM($G$34:G217))</f>
        <v/>
      </c>
      <c r="I217" s="34"/>
    </row>
    <row r="218" customFormat="false" ht="15" hidden="false" customHeight="false" outlineLevel="0" collapsed="false">
      <c r="A218" s="33"/>
      <c r="B218" s="34"/>
      <c r="C218" s="34"/>
      <c r="D218" s="27"/>
      <c r="E218" s="27"/>
      <c r="F218" s="35" t="str">
        <f aca="false">IF(OR(D218="",E218=""),"",IFERROR((D218*INDEX($C$14:$C$16,MATCH(B218,$A$14:$A$16,0))+E218*INDEX($D$14:$D$16,MATCH(B218,$A$14:$A$16,0)))/1000000,""))</f>
        <v/>
      </c>
      <c r="G218" s="35" t="str">
        <f aca="false">IF(F218="","",F218/$B$5)</f>
        <v/>
      </c>
      <c r="H218" s="35" t="str">
        <f aca="false">IF(G218="","",SUM($G$34:G218))</f>
        <v/>
      </c>
      <c r="I218" s="34"/>
    </row>
    <row r="219" customFormat="false" ht="15" hidden="false" customHeight="false" outlineLevel="0" collapsed="false">
      <c r="A219" s="33"/>
      <c r="B219" s="34"/>
      <c r="C219" s="34"/>
      <c r="D219" s="27"/>
      <c r="E219" s="27"/>
      <c r="F219" s="35" t="str">
        <f aca="false">IF(OR(D219="",E219=""),"",IFERROR((D219*INDEX($C$14:$C$16,MATCH(B219,$A$14:$A$16,0))+E219*INDEX($D$14:$D$16,MATCH(B219,$A$14:$A$16,0)))/1000000,""))</f>
        <v/>
      </c>
      <c r="G219" s="35" t="str">
        <f aca="false">IF(F219="","",F219/$B$5)</f>
        <v/>
      </c>
      <c r="H219" s="35" t="str">
        <f aca="false">IF(G219="","",SUM($G$34:G219))</f>
        <v/>
      </c>
      <c r="I219" s="34"/>
    </row>
    <row r="220" customFormat="false" ht="15" hidden="false" customHeight="false" outlineLevel="0" collapsed="false">
      <c r="A220" s="33"/>
      <c r="B220" s="34"/>
      <c r="C220" s="34"/>
      <c r="D220" s="27"/>
      <c r="E220" s="27"/>
      <c r="F220" s="35" t="str">
        <f aca="false">IF(OR(D220="",E220=""),"",IFERROR((D220*INDEX($C$14:$C$16,MATCH(B220,$A$14:$A$16,0))+E220*INDEX($D$14:$D$16,MATCH(B220,$A$14:$A$16,0)))/1000000,""))</f>
        <v/>
      </c>
      <c r="G220" s="35" t="str">
        <f aca="false">IF(F220="","",F220/$B$5)</f>
        <v/>
      </c>
      <c r="H220" s="35" t="str">
        <f aca="false">IF(G220="","",SUM($G$34:G220))</f>
        <v/>
      </c>
      <c r="I220" s="34"/>
    </row>
    <row r="221" customFormat="false" ht="15" hidden="false" customHeight="false" outlineLevel="0" collapsed="false">
      <c r="A221" s="33"/>
      <c r="B221" s="34"/>
      <c r="C221" s="34"/>
      <c r="D221" s="27"/>
      <c r="E221" s="27"/>
      <c r="F221" s="35" t="str">
        <f aca="false">IF(OR(D221="",E221=""),"",IFERROR((D221*INDEX($C$14:$C$16,MATCH(B221,$A$14:$A$16,0))+E221*INDEX($D$14:$D$16,MATCH(B221,$A$14:$A$16,0)))/1000000,""))</f>
        <v/>
      </c>
      <c r="G221" s="35" t="str">
        <f aca="false">IF(F221="","",F221/$B$5)</f>
        <v/>
      </c>
      <c r="H221" s="35" t="str">
        <f aca="false">IF(G221="","",SUM($G$34:G221))</f>
        <v/>
      </c>
      <c r="I221" s="34"/>
    </row>
    <row r="222" customFormat="false" ht="15" hidden="false" customHeight="false" outlineLevel="0" collapsed="false">
      <c r="A222" s="33"/>
      <c r="B222" s="34"/>
      <c r="C222" s="34"/>
      <c r="D222" s="27"/>
      <c r="E222" s="27"/>
      <c r="F222" s="35" t="str">
        <f aca="false">IF(OR(D222="",E222=""),"",IFERROR((D222*INDEX($C$14:$C$16,MATCH(B222,$A$14:$A$16,0))+E222*INDEX($D$14:$D$16,MATCH(B222,$A$14:$A$16,0)))/1000000,""))</f>
        <v/>
      </c>
      <c r="G222" s="35" t="str">
        <f aca="false">IF(F222="","",F222/$B$5)</f>
        <v/>
      </c>
      <c r="H222" s="35" t="str">
        <f aca="false">IF(G222="","",SUM($G$34:G222))</f>
        <v/>
      </c>
      <c r="I222" s="34"/>
    </row>
    <row r="223" customFormat="false" ht="15" hidden="false" customHeight="false" outlineLevel="0" collapsed="false">
      <c r="A223" s="33"/>
      <c r="B223" s="34"/>
      <c r="C223" s="34"/>
      <c r="D223" s="27"/>
      <c r="E223" s="27"/>
      <c r="F223" s="35" t="str">
        <f aca="false">IF(OR(D223="",E223=""),"",IFERROR((D223*INDEX($C$14:$C$16,MATCH(B223,$A$14:$A$16,0))+E223*INDEX($D$14:$D$16,MATCH(B223,$A$14:$A$16,0)))/1000000,""))</f>
        <v/>
      </c>
      <c r="G223" s="35" t="str">
        <f aca="false">IF(F223="","",F223/$B$5)</f>
        <v/>
      </c>
      <c r="H223" s="35" t="str">
        <f aca="false">IF(G223="","",SUM($G$34:G223))</f>
        <v/>
      </c>
      <c r="I223" s="34"/>
    </row>
    <row r="224" customFormat="false" ht="15" hidden="false" customHeight="false" outlineLevel="0" collapsed="false">
      <c r="A224" s="33"/>
      <c r="B224" s="34"/>
      <c r="C224" s="34"/>
      <c r="D224" s="27"/>
      <c r="E224" s="27"/>
      <c r="F224" s="35" t="str">
        <f aca="false">IF(OR(D224="",E224=""),"",IFERROR((D224*INDEX($C$14:$C$16,MATCH(B224,$A$14:$A$16,0))+E224*INDEX($D$14:$D$16,MATCH(B224,$A$14:$A$16,0)))/1000000,""))</f>
        <v/>
      </c>
      <c r="G224" s="35" t="str">
        <f aca="false">IF(F224="","",F224/$B$5)</f>
        <v/>
      </c>
      <c r="H224" s="35" t="str">
        <f aca="false">IF(G224="","",SUM($G$34:G224))</f>
        <v/>
      </c>
      <c r="I224" s="34"/>
    </row>
    <row r="225" customFormat="false" ht="15" hidden="false" customHeight="false" outlineLevel="0" collapsed="false">
      <c r="A225" s="33"/>
      <c r="B225" s="34"/>
      <c r="C225" s="34"/>
      <c r="D225" s="27"/>
      <c r="E225" s="27"/>
      <c r="F225" s="35" t="str">
        <f aca="false">IF(OR(D225="",E225=""),"",IFERROR((D225*INDEX($C$14:$C$16,MATCH(B225,$A$14:$A$16,0))+E225*INDEX($D$14:$D$16,MATCH(B225,$A$14:$A$16,0)))/1000000,""))</f>
        <v/>
      </c>
      <c r="G225" s="35" t="str">
        <f aca="false">IF(F225="","",F225/$B$5)</f>
        <v/>
      </c>
      <c r="H225" s="35" t="str">
        <f aca="false">IF(G225="","",SUM($G$34:G225))</f>
        <v/>
      </c>
      <c r="I225" s="34"/>
    </row>
    <row r="226" customFormat="false" ht="15" hidden="false" customHeight="false" outlineLevel="0" collapsed="false">
      <c r="A226" s="33"/>
      <c r="B226" s="34"/>
      <c r="C226" s="34"/>
      <c r="D226" s="27"/>
      <c r="E226" s="27"/>
      <c r="F226" s="35" t="str">
        <f aca="false">IF(OR(D226="",E226=""),"",IFERROR((D226*INDEX($C$14:$C$16,MATCH(B226,$A$14:$A$16,0))+E226*INDEX($D$14:$D$16,MATCH(B226,$A$14:$A$16,0)))/1000000,""))</f>
        <v/>
      </c>
      <c r="G226" s="35" t="str">
        <f aca="false">IF(F226="","",F226/$B$5)</f>
        <v/>
      </c>
      <c r="H226" s="35" t="str">
        <f aca="false">IF(G226="","",SUM($G$34:G226))</f>
        <v/>
      </c>
      <c r="I226" s="34"/>
    </row>
    <row r="227" customFormat="false" ht="15" hidden="false" customHeight="false" outlineLevel="0" collapsed="false">
      <c r="A227" s="33"/>
      <c r="B227" s="34"/>
      <c r="C227" s="34"/>
      <c r="D227" s="27"/>
      <c r="E227" s="27"/>
      <c r="F227" s="35" t="str">
        <f aca="false">IF(OR(D227="",E227=""),"",IFERROR((D227*INDEX($C$14:$C$16,MATCH(B227,$A$14:$A$16,0))+E227*INDEX($D$14:$D$16,MATCH(B227,$A$14:$A$16,0)))/1000000,""))</f>
        <v/>
      </c>
      <c r="G227" s="35" t="str">
        <f aca="false">IF(F227="","",F227/$B$5)</f>
        <v/>
      </c>
      <c r="H227" s="35" t="str">
        <f aca="false">IF(G227="","",SUM($G$34:G227))</f>
        <v/>
      </c>
      <c r="I227" s="34"/>
    </row>
    <row r="228" customFormat="false" ht="15" hidden="false" customHeight="false" outlineLevel="0" collapsed="false">
      <c r="A228" s="33"/>
      <c r="B228" s="34"/>
      <c r="C228" s="34"/>
      <c r="D228" s="27"/>
      <c r="E228" s="27"/>
      <c r="F228" s="35" t="str">
        <f aca="false">IF(OR(D228="",E228=""),"",IFERROR((D228*INDEX($C$14:$C$16,MATCH(B228,$A$14:$A$16,0))+E228*INDEX($D$14:$D$16,MATCH(B228,$A$14:$A$16,0)))/1000000,""))</f>
        <v/>
      </c>
      <c r="G228" s="35" t="str">
        <f aca="false">IF(F228="","",F228/$B$5)</f>
        <v/>
      </c>
      <c r="H228" s="35" t="str">
        <f aca="false">IF(G228="","",SUM($G$34:G228))</f>
        <v/>
      </c>
      <c r="I228" s="34"/>
    </row>
    <row r="229" customFormat="false" ht="15" hidden="false" customHeight="false" outlineLevel="0" collapsed="false">
      <c r="A229" s="33"/>
      <c r="B229" s="34"/>
      <c r="C229" s="34"/>
      <c r="D229" s="27"/>
      <c r="E229" s="27"/>
      <c r="F229" s="35" t="str">
        <f aca="false">IF(OR(D229="",E229=""),"",IFERROR((D229*INDEX($C$14:$C$16,MATCH(B229,$A$14:$A$16,0))+E229*INDEX($D$14:$D$16,MATCH(B229,$A$14:$A$16,0)))/1000000,""))</f>
        <v/>
      </c>
      <c r="G229" s="35" t="str">
        <f aca="false">IF(F229="","",F229/$B$5)</f>
        <v/>
      </c>
      <c r="H229" s="35" t="str">
        <f aca="false">IF(G229="","",SUM($G$34:G229))</f>
        <v/>
      </c>
      <c r="I229" s="34"/>
    </row>
    <row r="230" customFormat="false" ht="15" hidden="false" customHeight="false" outlineLevel="0" collapsed="false">
      <c r="A230" s="33"/>
      <c r="B230" s="34"/>
      <c r="C230" s="34"/>
      <c r="D230" s="27"/>
      <c r="E230" s="27"/>
      <c r="F230" s="35" t="str">
        <f aca="false">IF(OR(D230="",E230=""),"",IFERROR((D230*INDEX($C$14:$C$16,MATCH(B230,$A$14:$A$16,0))+E230*INDEX($D$14:$D$16,MATCH(B230,$A$14:$A$16,0)))/1000000,""))</f>
        <v/>
      </c>
      <c r="G230" s="35" t="str">
        <f aca="false">IF(F230="","",F230/$B$5)</f>
        <v/>
      </c>
      <c r="H230" s="35" t="str">
        <f aca="false">IF(G230="","",SUM($G$34:G230))</f>
        <v/>
      </c>
      <c r="I230" s="34"/>
    </row>
    <row r="231" customFormat="false" ht="15" hidden="false" customHeight="false" outlineLevel="0" collapsed="false">
      <c r="A231" s="33"/>
      <c r="B231" s="34"/>
      <c r="C231" s="34"/>
      <c r="D231" s="27"/>
      <c r="E231" s="27"/>
      <c r="F231" s="35" t="str">
        <f aca="false">IF(OR(D231="",E231=""),"",IFERROR((D231*INDEX($C$14:$C$16,MATCH(B231,$A$14:$A$16,0))+E231*INDEX($D$14:$D$16,MATCH(B231,$A$14:$A$16,0)))/1000000,""))</f>
        <v/>
      </c>
      <c r="G231" s="35" t="str">
        <f aca="false">IF(F231="","",F231/$B$5)</f>
        <v/>
      </c>
      <c r="H231" s="35" t="str">
        <f aca="false">IF(G231="","",SUM($G$34:G231))</f>
        <v/>
      </c>
      <c r="I231" s="34"/>
    </row>
    <row r="232" customFormat="false" ht="15" hidden="false" customHeight="false" outlineLevel="0" collapsed="false">
      <c r="A232" s="33"/>
      <c r="B232" s="34"/>
      <c r="C232" s="34"/>
      <c r="D232" s="27"/>
      <c r="E232" s="27"/>
      <c r="F232" s="35" t="str">
        <f aca="false">IF(OR(D232="",E232=""),"",IFERROR((D232*INDEX($C$14:$C$16,MATCH(B232,$A$14:$A$16,0))+E232*INDEX($D$14:$D$16,MATCH(B232,$A$14:$A$16,0)))/1000000,""))</f>
        <v/>
      </c>
      <c r="G232" s="35" t="str">
        <f aca="false">IF(F232="","",F232/$B$5)</f>
        <v/>
      </c>
      <c r="H232" s="35" t="str">
        <f aca="false">IF(G232="","",SUM($G$34:G232))</f>
        <v/>
      </c>
      <c r="I232" s="34"/>
    </row>
    <row r="233" customFormat="false" ht="15" hidden="false" customHeight="false" outlineLevel="0" collapsed="false">
      <c r="A233" s="33"/>
      <c r="B233" s="34"/>
      <c r="C233" s="34"/>
      <c r="D233" s="27"/>
      <c r="E233" s="27"/>
      <c r="F233" s="35" t="str">
        <f aca="false">IF(OR(D233="",E233=""),"",IFERROR((D233*INDEX($C$14:$C$16,MATCH(B233,$A$14:$A$16,0))+E233*INDEX($D$14:$D$16,MATCH(B233,$A$14:$A$16,0)))/1000000,""))</f>
        <v/>
      </c>
      <c r="G233" s="35" t="str">
        <f aca="false">IF(F233="","",F233/$B$5)</f>
        <v/>
      </c>
      <c r="H233" s="35" t="str">
        <f aca="false">IF(G233="","",SUM($G$34:G233))</f>
        <v/>
      </c>
      <c r="I233" s="34"/>
    </row>
  </sheetData>
  <conditionalFormatting sqref="B23">
    <cfRule type="expression" priority="2" aboveAverage="0" equalAverage="0" bottom="0" percent="0" rank="0" text="" dxfId="12">
      <formula>LEFT($B$23,5)="ARRÊT"</formula>
    </cfRule>
    <cfRule type="expression" priority="3" aboveAverage="0" equalAverage="0" bottom="0" percent="0" rank="0" text="" dxfId="13">
      <formula>LEFT($B$23,5)="CRITI"</formula>
    </cfRule>
    <cfRule type="expression" priority="4" aboveAverage="0" equalAverage="0" bottom="0" percent="0" rank="0" text="" dxfId="14">
      <formula>LEFT($B$23,5)="VIGIL"</formula>
    </cfRule>
    <cfRule type="expression" priority="5" aboveAverage="0" equalAverage="0" bottom="0" percent="0" rank="0" text="" dxfId="11">
      <formula>$B$23="NORMAL"</formula>
    </cfRule>
  </conditionalFormatting>
  <dataValidations count="1">
    <dataValidation allowBlank="true" errorStyle="stop" operator="between" showDropDown="false" showErrorMessage="false" showInputMessage="false" sqref="B34:B233" type="list">
      <formula1>$A$14:$A$16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2"/>
    <col collapsed="false" customWidth="true" hidden="false" outlineLevel="0" max="3" min="3" style="0" width="70"/>
  </cols>
  <sheetData>
    <row r="1" customFormat="false" ht="17.35" hidden="false" customHeight="false" outlineLevel="0" collapsed="false">
      <c r="A1" s="36" t="s">
        <v>427</v>
      </c>
    </row>
    <row r="3" customFormat="false" ht="15" hidden="false" customHeight="false" outlineLevel="0" collapsed="false">
      <c r="A3" s="8" t="s">
        <v>235</v>
      </c>
      <c r="B3" s="8" t="s">
        <v>428</v>
      </c>
      <c r="C3" s="8" t="s">
        <v>429</v>
      </c>
    </row>
    <row r="4" customFormat="false" ht="15" hidden="false" customHeight="false" outlineLevel="0" collapsed="false">
      <c r="A4" s="9" t="s">
        <v>35</v>
      </c>
      <c r="B4" s="26" t="n">
        <v>0</v>
      </c>
      <c r="C4" s="9" t="s">
        <v>430</v>
      </c>
    </row>
    <row r="5" customFormat="false" ht="15" hidden="false" customHeight="false" outlineLevel="0" collapsed="false">
      <c r="A5" s="9" t="s">
        <v>36</v>
      </c>
      <c r="B5" s="26" t="n">
        <v>0.4</v>
      </c>
      <c r="C5" s="9" t="s">
        <v>431</v>
      </c>
    </row>
    <row r="6" customFormat="false" ht="15" hidden="false" customHeight="false" outlineLevel="0" collapsed="false">
      <c r="A6" s="9" t="s">
        <v>37</v>
      </c>
      <c r="B6" s="26" t="n">
        <v>0.75</v>
      </c>
      <c r="C6" s="9" t="s">
        <v>432</v>
      </c>
    </row>
    <row r="7" customFormat="false" ht="15" hidden="false" customHeight="false" outlineLevel="0" collapsed="false">
      <c r="A7" s="9" t="s">
        <v>38</v>
      </c>
      <c r="B7" s="26" t="n">
        <v>1</v>
      </c>
      <c r="C7" s="9" t="s">
        <v>433</v>
      </c>
    </row>
    <row r="9" customFormat="false" ht="15" hidden="false" customHeight="false" outlineLevel="0" collapsed="false">
      <c r="A9" s="2" t="s">
        <v>434</v>
      </c>
    </row>
    <row r="11" customFormat="false" ht="15" hidden="false" customHeight="false" outlineLevel="0" collapsed="false">
      <c r="A11" s="8" t="s">
        <v>26</v>
      </c>
      <c r="B11" s="8" t="s">
        <v>239</v>
      </c>
      <c r="C11" s="8" t="s">
        <v>435</v>
      </c>
    </row>
    <row r="12" customFormat="false" ht="15" hidden="false" customHeight="false" outlineLevel="0" collapsed="false">
      <c r="A12" s="15" t="s">
        <v>27</v>
      </c>
      <c r="B12" s="15" t="s">
        <v>436</v>
      </c>
      <c r="C12" s="15" t="s">
        <v>437</v>
      </c>
    </row>
    <row r="13" customFormat="false" ht="23.85" hidden="false" customHeight="false" outlineLevel="0" collapsed="false">
      <c r="A13" s="15" t="s">
        <v>28</v>
      </c>
      <c r="B13" s="15" t="s">
        <v>438</v>
      </c>
      <c r="C13" s="15" t="s">
        <v>439</v>
      </c>
    </row>
    <row r="14" customFormat="false" ht="23.85" hidden="false" customHeight="false" outlineLevel="0" collapsed="false">
      <c r="A14" s="15" t="s">
        <v>29</v>
      </c>
      <c r="B14" s="15" t="s">
        <v>440</v>
      </c>
      <c r="C14" s="15" t="s">
        <v>441</v>
      </c>
    </row>
    <row r="15" customFormat="false" ht="15" hidden="false" customHeight="false" outlineLevel="0" collapsed="false">
      <c r="A15" s="15" t="s">
        <v>30</v>
      </c>
      <c r="B15" s="15" t="s">
        <v>442</v>
      </c>
      <c r="C15" s="15" t="s">
        <v>443</v>
      </c>
    </row>
    <row r="16" customFormat="false" ht="23.85" hidden="false" customHeight="false" outlineLevel="0" collapsed="false">
      <c r="A16" s="15" t="s">
        <v>31</v>
      </c>
      <c r="B16" s="15" t="s">
        <v>444</v>
      </c>
      <c r="C16" s="15" t="s">
        <v>445</v>
      </c>
    </row>
    <row r="17" customFormat="false" ht="23.85" hidden="false" customHeight="false" outlineLevel="0" collapsed="false">
      <c r="A17" s="15" t="s">
        <v>32</v>
      </c>
      <c r="B17" s="15" t="s">
        <v>446</v>
      </c>
      <c r="C17" s="15" t="s">
        <v>447</v>
      </c>
    </row>
    <row r="18" customFormat="false" ht="15" hidden="false" customHeight="false" outlineLevel="0" collapsed="false">
      <c r="A18" s="2" t="s">
        <v>448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34"/>
    <col collapsed="false" customWidth="true" hidden="false" outlineLevel="0" max="4" min="4" style="0" width="38"/>
    <col collapsed="false" customWidth="true" hidden="false" outlineLevel="0" max="6" min="5" style="0" width="48"/>
    <col collapsed="false" customWidth="true" hidden="false" outlineLevel="0" max="7" min="7" style="0" width="36"/>
    <col collapsed="false" customWidth="true" hidden="false" outlineLevel="0" max="9" min="8" style="0" width="14"/>
    <col collapsed="false" customWidth="true" hidden="false" outlineLevel="0" max="10" min="10" style="0" width="40"/>
    <col collapsed="false" customWidth="true" hidden="false" outlineLevel="0" max="11" min="11" style="0" width="12"/>
  </cols>
  <sheetData>
    <row r="1" customFormat="false" ht="17.35" hidden="false" customHeight="false" outlineLevel="0" collapsed="false">
      <c r="A1" s="23" t="s">
        <v>449</v>
      </c>
    </row>
    <row r="2" customFormat="false" ht="45" hidden="false" customHeight="true" outlineLevel="0" collapsed="false">
      <c r="A2" s="37" t="s">
        <v>450</v>
      </c>
      <c r="B2" s="37"/>
      <c r="C2" s="37"/>
      <c r="D2" s="37"/>
      <c r="E2" s="37"/>
      <c r="F2" s="37"/>
      <c r="G2" s="37"/>
      <c r="H2" s="37"/>
      <c r="I2" s="37"/>
      <c r="J2" s="37"/>
      <c r="K2" s="37"/>
    </row>
    <row r="4" customFormat="false" ht="15" hidden="false" customHeight="false" outlineLevel="0" collapsed="false">
      <c r="A4" s="8" t="s">
        <v>276</v>
      </c>
      <c r="B4" s="8" t="s">
        <v>451</v>
      </c>
      <c r="C4" s="8" t="s">
        <v>452</v>
      </c>
      <c r="D4" s="8" t="s">
        <v>453</v>
      </c>
      <c r="E4" s="8" t="s">
        <v>454</v>
      </c>
      <c r="F4" s="8" t="s">
        <v>455</v>
      </c>
      <c r="G4" s="8" t="s">
        <v>456</v>
      </c>
      <c r="H4" s="8" t="s">
        <v>457</v>
      </c>
      <c r="I4" s="8" t="s">
        <v>235</v>
      </c>
      <c r="J4" s="8" t="s">
        <v>458</v>
      </c>
      <c r="K4" s="8" t="s">
        <v>459</v>
      </c>
    </row>
    <row r="5" customFormat="false" ht="57.45" hidden="false" customHeight="false" outlineLevel="0" collapsed="false">
      <c r="A5" s="15" t="n">
        <v>1</v>
      </c>
      <c r="B5" s="15" t="s">
        <v>460</v>
      </c>
      <c r="C5" s="15" t="s">
        <v>461</v>
      </c>
      <c r="D5" s="15" t="s">
        <v>462</v>
      </c>
      <c r="E5" s="15" t="s">
        <v>463</v>
      </c>
      <c r="F5" s="15" t="s">
        <v>464</v>
      </c>
      <c r="G5" s="15" t="s">
        <v>465</v>
      </c>
      <c r="H5" s="15" t="s">
        <v>466</v>
      </c>
      <c r="I5" s="19" t="s">
        <v>467</v>
      </c>
      <c r="J5" s="15" t="s">
        <v>468</v>
      </c>
      <c r="K5" s="15" t="s">
        <v>332</v>
      </c>
    </row>
    <row r="6" customFormat="false" ht="57.45" hidden="false" customHeight="false" outlineLevel="0" collapsed="false">
      <c r="A6" s="15" t="n">
        <v>2</v>
      </c>
      <c r="B6" s="15" t="s">
        <v>460</v>
      </c>
      <c r="C6" s="15" t="s">
        <v>469</v>
      </c>
      <c r="D6" s="15" t="s">
        <v>470</v>
      </c>
      <c r="E6" s="15" t="s">
        <v>471</v>
      </c>
      <c r="F6" s="15" t="s">
        <v>472</v>
      </c>
      <c r="G6" s="15" t="s">
        <v>473</v>
      </c>
      <c r="H6" s="15" t="s">
        <v>466</v>
      </c>
      <c r="I6" s="19" t="s">
        <v>467</v>
      </c>
      <c r="J6" s="15" t="s">
        <v>474</v>
      </c>
      <c r="K6" s="15" t="s">
        <v>332</v>
      </c>
    </row>
    <row r="7" customFormat="false" ht="57.45" hidden="false" customHeight="false" outlineLevel="0" collapsed="false">
      <c r="A7" s="15" t="n">
        <v>3</v>
      </c>
      <c r="B7" s="15" t="s">
        <v>460</v>
      </c>
      <c r="C7" s="15" t="s">
        <v>475</v>
      </c>
      <c r="D7" s="15" t="s">
        <v>476</v>
      </c>
      <c r="E7" s="15" t="s">
        <v>477</v>
      </c>
      <c r="F7" s="15" t="s">
        <v>478</v>
      </c>
      <c r="G7" s="15" t="s">
        <v>479</v>
      </c>
      <c r="H7" s="15" t="s">
        <v>480</v>
      </c>
      <c r="I7" s="19" t="s">
        <v>467</v>
      </c>
      <c r="J7" s="15" t="s">
        <v>481</v>
      </c>
      <c r="K7" s="15" t="s">
        <v>332</v>
      </c>
    </row>
    <row r="8" customFormat="false" ht="46.25" hidden="false" customHeight="false" outlineLevel="0" collapsed="false">
      <c r="A8" s="15" t="n">
        <v>4</v>
      </c>
      <c r="B8" s="15" t="s">
        <v>482</v>
      </c>
      <c r="C8" s="15" t="s">
        <v>483</v>
      </c>
      <c r="D8" s="15" t="s">
        <v>484</v>
      </c>
      <c r="E8" s="15" t="s">
        <v>485</v>
      </c>
      <c r="F8" s="15" t="s">
        <v>486</v>
      </c>
      <c r="G8" s="15" t="s">
        <v>487</v>
      </c>
      <c r="H8" s="15" t="s">
        <v>466</v>
      </c>
      <c r="I8" s="19" t="s">
        <v>467</v>
      </c>
      <c r="J8" s="15" t="s">
        <v>488</v>
      </c>
      <c r="K8" s="15" t="s">
        <v>332</v>
      </c>
    </row>
    <row r="9" customFormat="false" ht="46.25" hidden="false" customHeight="false" outlineLevel="0" collapsed="false">
      <c r="A9" s="15" t="n">
        <v>5</v>
      </c>
      <c r="B9" s="15" t="s">
        <v>482</v>
      </c>
      <c r="C9" s="15" t="s">
        <v>489</v>
      </c>
      <c r="D9" s="15" t="s">
        <v>490</v>
      </c>
      <c r="E9" s="15" t="s">
        <v>491</v>
      </c>
      <c r="F9" s="15" t="s">
        <v>492</v>
      </c>
      <c r="G9" s="15" t="s">
        <v>493</v>
      </c>
      <c r="H9" s="15" t="s">
        <v>466</v>
      </c>
      <c r="I9" s="19" t="s">
        <v>467</v>
      </c>
      <c r="J9" s="15" t="s">
        <v>494</v>
      </c>
      <c r="K9" s="15" t="s">
        <v>332</v>
      </c>
    </row>
    <row r="10" customFormat="false" ht="46.25" hidden="false" customHeight="false" outlineLevel="0" collapsed="false">
      <c r="A10" s="15" t="n">
        <v>6</v>
      </c>
      <c r="B10" s="15" t="s">
        <v>495</v>
      </c>
      <c r="C10" s="15" t="s">
        <v>496</v>
      </c>
      <c r="D10" s="15" t="s">
        <v>497</v>
      </c>
      <c r="E10" s="15" t="s">
        <v>498</v>
      </c>
      <c r="F10" s="15" t="s">
        <v>499</v>
      </c>
      <c r="G10" s="15" t="s">
        <v>500</v>
      </c>
      <c r="H10" s="15" t="s">
        <v>466</v>
      </c>
      <c r="I10" s="19" t="s">
        <v>467</v>
      </c>
      <c r="J10" s="15" t="s">
        <v>501</v>
      </c>
      <c r="K10" s="15" t="s">
        <v>332</v>
      </c>
    </row>
    <row r="11" customFormat="false" ht="68.65" hidden="false" customHeight="false" outlineLevel="0" collapsed="false">
      <c r="A11" s="15" t="n">
        <v>7</v>
      </c>
      <c r="B11" s="15" t="s">
        <v>502</v>
      </c>
      <c r="C11" s="15" t="s">
        <v>503</v>
      </c>
      <c r="D11" s="15" t="s">
        <v>504</v>
      </c>
      <c r="E11" s="15" t="s">
        <v>505</v>
      </c>
      <c r="F11" s="15" t="s">
        <v>506</v>
      </c>
      <c r="G11" s="15" t="s">
        <v>507</v>
      </c>
      <c r="H11" s="15" t="s">
        <v>508</v>
      </c>
      <c r="I11" s="19" t="s">
        <v>467</v>
      </c>
      <c r="J11" s="15" t="s">
        <v>509</v>
      </c>
      <c r="K11" s="15" t="s">
        <v>332</v>
      </c>
    </row>
    <row r="12" customFormat="false" ht="57.45" hidden="false" customHeight="false" outlineLevel="0" collapsed="false">
      <c r="A12" s="15" t="n">
        <v>8</v>
      </c>
      <c r="B12" s="15" t="s">
        <v>510</v>
      </c>
      <c r="C12" s="15" t="s">
        <v>511</v>
      </c>
      <c r="D12" s="15" t="s">
        <v>512</v>
      </c>
      <c r="E12" s="15" t="s">
        <v>513</v>
      </c>
      <c r="F12" s="15" t="s">
        <v>514</v>
      </c>
      <c r="G12" s="15" t="s">
        <v>515</v>
      </c>
      <c r="H12" s="15" t="s">
        <v>466</v>
      </c>
      <c r="I12" s="19" t="s">
        <v>467</v>
      </c>
      <c r="J12" s="15" t="s">
        <v>516</v>
      </c>
      <c r="K12" s="15" t="s">
        <v>332</v>
      </c>
    </row>
    <row r="13" customFormat="false" ht="57.45" hidden="false" customHeight="false" outlineLevel="0" collapsed="false">
      <c r="A13" s="15" t="n">
        <v>9</v>
      </c>
      <c r="B13" s="15" t="s">
        <v>517</v>
      </c>
      <c r="C13" s="15" t="s">
        <v>518</v>
      </c>
      <c r="D13" s="15" t="s">
        <v>519</v>
      </c>
      <c r="E13" s="15" t="s">
        <v>520</v>
      </c>
      <c r="F13" s="15" t="s">
        <v>521</v>
      </c>
      <c r="G13" s="15" t="s">
        <v>522</v>
      </c>
      <c r="H13" s="15" t="s">
        <v>466</v>
      </c>
      <c r="I13" s="19" t="s">
        <v>467</v>
      </c>
      <c r="J13" s="15" t="s">
        <v>523</v>
      </c>
      <c r="K13" s="15" t="s">
        <v>332</v>
      </c>
    </row>
    <row r="14" customFormat="false" ht="68.65" hidden="false" customHeight="false" outlineLevel="0" collapsed="false">
      <c r="A14" s="15" t="n">
        <v>10</v>
      </c>
      <c r="B14" s="15" t="s">
        <v>524</v>
      </c>
      <c r="C14" s="15" t="s">
        <v>525</v>
      </c>
      <c r="D14" s="15" t="s">
        <v>526</v>
      </c>
      <c r="E14" s="15" t="s">
        <v>527</v>
      </c>
      <c r="F14" s="15" t="s">
        <v>528</v>
      </c>
      <c r="G14" s="15" t="s">
        <v>529</v>
      </c>
      <c r="H14" s="15" t="s">
        <v>530</v>
      </c>
      <c r="I14" s="19" t="s">
        <v>467</v>
      </c>
      <c r="J14" s="15" t="s">
        <v>531</v>
      </c>
      <c r="K14" s="15" t="s">
        <v>332</v>
      </c>
    </row>
    <row r="15" customFormat="false" ht="46.25" hidden="false" customHeight="false" outlineLevel="0" collapsed="false">
      <c r="A15" s="15" t="n">
        <v>11</v>
      </c>
      <c r="B15" s="15" t="s">
        <v>532</v>
      </c>
      <c r="C15" s="15" t="s">
        <v>533</v>
      </c>
      <c r="D15" s="15" t="s">
        <v>534</v>
      </c>
      <c r="E15" s="15" t="s">
        <v>535</v>
      </c>
      <c r="F15" s="15" t="s">
        <v>536</v>
      </c>
      <c r="G15" s="15" t="s">
        <v>537</v>
      </c>
      <c r="H15" s="15" t="s">
        <v>508</v>
      </c>
      <c r="I15" s="19" t="s">
        <v>467</v>
      </c>
      <c r="J15" s="15" t="s">
        <v>538</v>
      </c>
      <c r="K15" s="15" t="s">
        <v>332</v>
      </c>
    </row>
    <row r="16" customFormat="false" ht="35.05" hidden="false" customHeight="false" outlineLevel="0" collapsed="false">
      <c r="A16" s="15" t="n">
        <v>12</v>
      </c>
      <c r="B16" s="15" t="s">
        <v>539</v>
      </c>
      <c r="C16" s="15" t="s">
        <v>540</v>
      </c>
      <c r="D16" s="15" t="s">
        <v>541</v>
      </c>
      <c r="E16" s="15" t="s">
        <v>542</v>
      </c>
      <c r="F16" s="15" t="s">
        <v>543</v>
      </c>
      <c r="G16" s="15" t="s">
        <v>544</v>
      </c>
      <c r="H16" s="15" t="s">
        <v>480</v>
      </c>
      <c r="I16" s="19" t="s">
        <v>467</v>
      </c>
      <c r="J16" s="15" t="s">
        <v>545</v>
      </c>
      <c r="K16" s="15" t="s">
        <v>332</v>
      </c>
    </row>
    <row r="17" customFormat="false" ht="57.45" hidden="false" customHeight="false" outlineLevel="0" collapsed="false">
      <c r="A17" s="15" t="n">
        <v>13</v>
      </c>
      <c r="B17" s="15" t="s">
        <v>546</v>
      </c>
      <c r="C17" s="15" t="s">
        <v>547</v>
      </c>
      <c r="D17" s="15" t="s">
        <v>548</v>
      </c>
      <c r="E17" s="15" t="s">
        <v>549</v>
      </c>
      <c r="F17" s="15" t="s">
        <v>550</v>
      </c>
      <c r="G17" s="15" t="s">
        <v>551</v>
      </c>
      <c r="H17" s="15" t="s">
        <v>480</v>
      </c>
      <c r="I17" s="19" t="s">
        <v>467</v>
      </c>
      <c r="J17" s="15" t="s">
        <v>552</v>
      </c>
      <c r="K17" s="15" t="s">
        <v>332</v>
      </c>
    </row>
    <row r="18" customFormat="false" ht="68.65" hidden="false" customHeight="false" outlineLevel="0" collapsed="false">
      <c r="A18" s="15" t="n">
        <v>14</v>
      </c>
      <c r="B18" s="15" t="s">
        <v>553</v>
      </c>
      <c r="C18" s="15" t="s">
        <v>554</v>
      </c>
      <c r="D18" s="15" t="s">
        <v>555</v>
      </c>
      <c r="E18" s="15" t="s">
        <v>556</v>
      </c>
      <c r="F18" s="15" t="s">
        <v>557</v>
      </c>
      <c r="G18" s="15" t="s">
        <v>558</v>
      </c>
      <c r="H18" s="15" t="s">
        <v>559</v>
      </c>
      <c r="I18" s="19" t="s">
        <v>467</v>
      </c>
      <c r="J18" s="15" t="s">
        <v>560</v>
      </c>
      <c r="K18" s="15" t="s">
        <v>332</v>
      </c>
    </row>
    <row r="19" customFormat="false" ht="35.05" hidden="false" customHeight="false" outlineLevel="0" collapsed="false">
      <c r="A19" s="15" t="n">
        <v>15</v>
      </c>
      <c r="B19" s="15" t="s">
        <v>561</v>
      </c>
      <c r="C19" s="15" t="s">
        <v>562</v>
      </c>
      <c r="D19" s="15" t="s">
        <v>563</v>
      </c>
      <c r="E19" s="15" t="s">
        <v>564</v>
      </c>
      <c r="F19" s="15" t="s">
        <v>565</v>
      </c>
      <c r="G19" s="15" t="s">
        <v>566</v>
      </c>
      <c r="H19" s="15" t="s">
        <v>480</v>
      </c>
      <c r="I19" s="19" t="s">
        <v>467</v>
      </c>
      <c r="J19" s="15" t="s">
        <v>567</v>
      </c>
      <c r="K19" s="15" t="s">
        <v>332</v>
      </c>
    </row>
    <row r="20" customFormat="false" ht="35.05" hidden="false" customHeight="false" outlineLevel="0" collapsed="false">
      <c r="A20" s="15" t="n">
        <v>16</v>
      </c>
      <c r="B20" s="15" t="s">
        <v>568</v>
      </c>
      <c r="C20" s="15"/>
      <c r="D20" s="15"/>
      <c r="E20" s="15" t="s">
        <v>569</v>
      </c>
      <c r="F20" s="15"/>
      <c r="G20" s="15"/>
      <c r="H20" s="15"/>
      <c r="I20" s="19" t="s">
        <v>570</v>
      </c>
      <c r="J20" s="15"/>
      <c r="K20" s="15"/>
    </row>
    <row r="21" customFormat="false" ht="23.85" hidden="false" customHeight="false" outlineLevel="0" collapsed="false">
      <c r="A21" s="15" t="n">
        <v>17</v>
      </c>
      <c r="B21" s="15" t="s">
        <v>571</v>
      </c>
      <c r="C21" s="15"/>
      <c r="D21" s="15"/>
      <c r="E21" s="15" t="s">
        <v>572</v>
      </c>
      <c r="F21" s="15"/>
      <c r="G21" s="15"/>
      <c r="H21" s="15"/>
      <c r="I21" s="19" t="s">
        <v>570</v>
      </c>
      <c r="J21" s="15"/>
      <c r="K21" s="15"/>
    </row>
    <row r="22" customFormat="false" ht="23.85" hidden="false" customHeight="false" outlineLevel="0" collapsed="false">
      <c r="A22" s="15" t="n">
        <v>18</v>
      </c>
      <c r="B22" s="15" t="s">
        <v>573</v>
      </c>
      <c r="C22" s="15"/>
      <c r="D22" s="15"/>
      <c r="E22" s="15" t="s">
        <v>574</v>
      </c>
      <c r="F22" s="15"/>
      <c r="G22" s="15"/>
      <c r="H22" s="15"/>
      <c r="I22" s="19" t="s">
        <v>570</v>
      </c>
      <c r="J22" s="15"/>
      <c r="K22" s="15"/>
    </row>
    <row r="23" customFormat="false" ht="23.85" hidden="false" customHeight="false" outlineLevel="0" collapsed="false">
      <c r="A23" s="15" t="n">
        <v>19</v>
      </c>
      <c r="B23" s="15" t="s">
        <v>575</v>
      </c>
      <c r="C23" s="15"/>
      <c r="D23" s="15"/>
      <c r="E23" s="15" t="s">
        <v>576</v>
      </c>
      <c r="F23" s="15"/>
      <c r="G23" s="15"/>
      <c r="H23" s="15"/>
      <c r="I23" s="19" t="s">
        <v>570</v>
      </c>
      <c r="J23" s="15"/>
      <c r="K23" s="15"/>
    </row>
    <row r="24" customFormat="false" ht="35.05" hidden="false" customHeight="false" outlineLevel="0" collapsed="false">
      <c r="A24" s="15" t="n">
        <v>20</v>
      </c>
      <c r="B24" s="15" t="s">
        <v>577</v>
      </c>
      <c r="C24" s="15"/>
      <c r="D24" s="15"/>
      <c r="E24" s="15" t="s">
        <v>578</v>
      </c>
      <c r="F24" s="15"/>
      <c r="G24" s="15"/>
      <c r="H24" s="15"/>
      <c r="I24" s="19" t="s">
        <v>570</v>
      </c>
      <c r="J24" s="15"/>
      <c r="K24" s="15"/>
    </row>
    <row r="25" customFormat="false" ht="23.85" hidden="false" customHeight="false" outlineLevel="0" collapsed="false">
      <c r="A25" s="15" t="n">
        <v>21</v>
      </c>
      <c r="B25" s="15" t="s">
        <v>579</v>
      </c>
      <c r="C25" s="15"/>
      <c r="D25" s="15"/>
      <c r="E25" s="15" t="s">
        <v>580</v>
      </c>
      <c r="F25" s="15"/>
      <c r="G25" s="15"/>
      <c r="H25" s="15"/>
      <c r="I25" s="19" t="s">
        <v>570</v>
      </c>
      <c r="J25" s="15"/>
      <c r="K25" s="15"/>
    </row>
    <row r="26" customFormat="false" ht="35.05" hidden="false" customHeight="false" outlineLevel="0" collapsed="false">
      <c r="A26" s="15" t="n">
        <v>22</v>
      </c>
      <c r="B26" s="15" t="s">
        <v>581</v>
      </c>
      <c r="C26" s="15"/>
      <c r="D26" s="15"/>
      <c r="E26" s="15" t="s">
        <v>582</v>
      </c>
      <c r="F26" s="15"/>
      <c r="G26" s="15"/>
      <c r="H26" s="15"/>
      <c r="I26" s="19" t="s">
        <v>570</v>
      </c>
      <c r="J26" s="15"/>
      <c r="K26" s="15"/>
    </row>
    <row r="27" customFormat="false" ht="23.85" hidden="false" customHeight="false" outlineLevel="0" collapsed="false">
      <c r="A27" s="15" t="n">
        <v>23</v>
      </c>
      <c r="B27" s="15" t="s">
        <v>583</v>
      </c>
      <c r="C27" s="15"/>
      <c r="D27" s="15"/>
      <c r="E27" s="15" t="s">
        <v>584</v>
      </c>
      <c r="F27" s="15"/>
      <c r="G27" s="15"/>
      <c r="H27" s="15"/>
      <c r="I27" s="19" t="s">
        <v>570</v>
      </c>
      <c r="J27" s="15"/>
      <c r="K27" s="15"/>
    </row>
    <row r="28" customFormat="false" ht="23.85" hidden="false" customHeight="false" outlineLevel="0" collapsed="false">
      <c r="A28" s="15" t="n">
        <v>24</v>
      </c>
      <c r="B28" s="15" t="s">
        <v>585</v>
      </c>
      <c r="C28" s="15"/>
      <c r="D28" s="15"/>
      <c r="E28" s="15" t="s">
        <v>586</v>
      </c>
      <c r="F28" s="15"/>
      <c r="G28" s="15"/>
      <c r="H28" s="15"/>
      <c r="I28" s="19" t="s">
        <v>570</v>
      </c>
      <c r="J28" s="15"/>
      <c r="K28" s="15"/>
    </row>
    <row r="29" customFormat="false" ht="23.85" hidden="false" customHeight="false" outlineLevel="0" collapsed="false">
      <c r="A29" s="15" t="n">
        <v>25</v>
      </c>
      <c r="B29" s="15" t="s">
        <v>587</v>
      </c>
      <c r="C29" s="15"/>
      <c r="D29" s="15"/>
      <c r="E29" s="15" t="s">
        <v>588</v>
      </c>
      <c r="F29" s="15"/>
      <c r="G29" s="15"/>
      <c r="H29" s="15"/>
      <c r="I29" s="19" t="s">
        <v>570</v>
      </c>
      <c r="J29" s="15"/>
      <c r="K29" s="15"/>
    </row>
  </sheetData>
  <autoFilter ref="A4:K29"/>
  <mergeCells count="1">
    <mergeCell ref="A2:K2"/>
  </mergeCells>
  <conditionalFormatting sqref="I5:I89">
    <cfRule type="cellIs" priority="2" operator="equal" aboveAverage="0" equalAverage="0" bottom="0" percent="0" rank="0" text="" dxfId="8">
      <formula>"À rechercher"</formula>
    </cfRule>
    <cfRule type="cellIs" priority="3" operator="equal" aboveAverage="0" equalAverage="0" bottom="0" percent="0" rank="0" text="" dxfId="9">
      <formula>"Résumé lu"</formula>
    </cfRule>
    <cfRule type="cellIs" priority="4" operator="equal" aboveAverage="0" equalAverage="0" bottom="0" percent="0" rank="0" text="" dxfId="10">
      <formula>"À approfondir"</formula>
    </cfRule>
    <cfRule type="cellIs" priority="5" operator="equal" aboveAverage="0" equalAverage="0" bottom="0" percent="0" rank="0" text="" dxfId="11">
      <formula>"Lu en entier"</formula>
    </cfRule>
  </conditionalFormatting>
  <dataValidations count="1">
    <dataValidation allowBlank="false" errorStyle="stop" operator="between" showDropDown="false" showErrorMessage="false" showInputMessage="false" sqref="I5:I89" type="list">
      <formula1>"Résumé lu,À approfondir,Lu en entier,À rechercher"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0"/>
    <col collapsed="false" customWidth="true" hidden="false" outlineLevel="0" max="3" min="3" style="0" width="16"/>
    <col collapsed="false" customWidth="true" hidden="false" outlineLevel="0" max="4" min="4" style="0" width="34"/>
    <col collapsed="false" customWidth="true" hidden="false" outlineLevel="0" max="5" min="5" style="0" width="20"/>
    <col collapsed="false" customWidth="true" hidden="false" outlineLevel="0" max="6" min="6" style="0" width="14"/>
  </cols>
  <sheetData>
    <row r="1" customFormat="false" ht="17.35" hidden="false" customHeight="false" outlineLevel="0" collapsed="false">
      <c r="A1" s="23" t="s">
        <v>589</v>
      </c>
    </row>
    <row r="2" customFormat="false" ht="31.5" hidden="false" customHeight="true" outlineLevel="0" collapsed="false">
      <c r="A2" s="37" t="s">
        <v>590</v>
      </c>
      <c r="B2" s="37"/>
      <c r="C2" s="37"/>
      <c r="D2" s="37"/>
      <c r="E2" s="37"/>
      <c r="F2" s="37"/>
    </row>
    <row r="4" customFormat="false" ht="23.85" hidden="false" customHeight="false" outlineLevel="0" collapsed="false">
      <c r="A4" s="8" t="s">
        <v>276</v>
      </c>
      <c r="B4" s="8" t="s">
        <v>591</v>
      </c>
      <c r="C4" s="8" t="s">
        <v>592</v>
      </c>
      <c r="D4" s="8" t="s">
        <v>593</v>
      </c>
      <c r="E4" s="8" t="s">
        <v>594</v>
      </c>
      <c r="F4" s="8" t="s">
        <v>235</v>
      </c>
    </row>
    <row r="5" customFormat="false" ht="23.85" hidden="false" customHeight="false" outlineLevel="0" collapsed="false">
      <c r="A5" s="15" t="n">
        <v>1</v>
      </c>
      <c r="B5" s="15" t="s">
        <v>595</v>
      </c>
      <c r="C5" s="15" t="s">
        <v>596</v>
      </c>
      <c r="D5" s="15" t="s">
        <v>597</v>
      </c>
      <c r="E5" s="15" t="s">
        <v>466</v>
      </c>
      <c r="F5" s="19" t="s">
        <v>37</v>
      </c>
    </row>
    <row r="6" customFormat="false" ht="23.85" hidden="false" customHeight="false" outlineLevel="0" collapsed="false">
      <c r="A6" s="15" t="n">
        <v>2</v>
      </c>
      <c r="B6" s="15" t="s">
        <v>598</v>
      </c>
      <c r="C6" s="15" t="s">
        <v>599</v>
      </c>
      <c r="D6" s="15" t="s">
        <v>600</v>
      </c>
      <c r="E6" s="15" t="s">
        <v>508</v>
      </c>
      <c r="F6" s="19" t="s">
        <v>37</v>
      </c>
    </row>
    <row r="7" customFormat="false" ht="23.85" hidden="false" customHeight="false" outlineLevel="0" collapsed="false">
      <c r="A7" s="15" t="n">
        <v>3</v>
      </c>
      <c r="B7" s="15" t="s">
        <v>601</v>
      </c>
      <c r="C7" s="15" t="s">
        <v>602</v>
      </c>
      <c r="D7" s="15" t="s">
        <v>603</v>
      </c>
      <c r="E7" s="15" t="s">
        <v>466</v>
      </c>
      <c r="F7" s="19" t="s">
        <v>37</v>
      </c>
    </row>
    <row r="8" customFormat="false" ht="23.85" hidden="false" customHeight="false" outlineLevel="0" collapsed="false">
      <c r="A8" s="15" t="n">
        <v>4</v>
      </c>
      <c r="B8" s="15" t="s">
        <v>604</v>
      </c>
      <c r="C8" s="15" t="s">
        <v>605</v>
      </c>
      <c r="D8" s="15" t="s">
        <v>606</v>
      </c>
      <c r="E8" s="15" t="s">
        <v>607</v>
      </c>
      <c r="F8" s="19" t="s">
        <v>608</v>
      </c>
    </row>
    <row r="9" customFormat="false" ht="23.85" hidden="false" customHeight="false" outlineLevel="0" collapsed="false">
      <c r="A9" s="15" t="n">
        <v>5</v>
      </c>
      <c r="B9" s="15" t="s">
        <v>609</v>
      </c>
      <c r="C9" s="15" t="s">
        <v>610</v>
      </c>
      <c r="D9" s="15" t="s">
        <v>611</v>
      </c>
      <c r="E9" s="15" t="s">
        <v>466</v>
      </c>
      <c r="F9" s="19" t="s">
        <v>37</v>
      </c>
    </row>
    <row r="10" customFormat="false" ht="23.85" hidden="false" customHeight="false" outlineLevel="0" collapsed="false">
      <c r="A10" s="15" t="n">
        <v>6</v>
      </c>
      <c r="B10" s="15" t="s">
        <v>612</v>
      </c>
      <c r="C10" s="15" t="s">
        <v>613</v>
      </c>
      <c r="D10" s="15" t="s">
        <v>614</v>
      </c>
      <c r="E10" s="15" t="s">
        <v>480</v>
      </c>
      <c r="F10" s="19" t="s">
        <v>37</v>
      </c>
    </row>
    <row r="11" customFormat="false" ht="15" hidden="false" customHeight="false" outlineLevel="0" collapsed="false">
      <c r="A11" s="15" t="n">
        <v>7</v>
      </c>
      <c r="B11" s="15" t="s">
        <v>615</v>
      </c>
      <c r="C11" s="15" t="s">
        <v>616</v>
      </c>
      <c r="D11" s="15" t="s">
        <v>617</v>
      </c>
      <c r="E11" s="15" t="s">
        <v>480</v>
      </c>
      <c r="F11" s="19" t="s">
        <v>608</v>
      </c>
    </row>
    <row r="12" customFormat="false" ht="23.85" hidden="false" customHeight="false" outlineLevel="0" collapsed="false">
      <c r="A12" s="15" t="n">
        <v>8</v>
      </c>
      <c r="B12" s="15" t="s">
        <v>618</v>
      </c>
      <c r="C12" s="15" t="s">
        <v>619</v>
      </c>
      <c r="D12" s="15" t="s">
        <v>620</v>
      </c>
      <c r="E12" s="15" t="s">
        <v>621</v>
      </c>
      <c r="F12" s="19" t="s">
        <v>608</v>
      </c>
    </row>
    <row r="13" customFormat="false" ht="23.85" hidden="false" customHeight="false" outlineLevel="0" collapsed="false">
      <c r="A13" s="15" t="n">
        <v>9</v>
      </c>
      <c r="B13" s="15" t="s">
        <v>622</v>
      </c>
      <c r="C13" s="15" t="s">
        <v>623</v>
      </c>
      <c r="D13" s="15" t="s">
        <v>624</v>
      </c>
      <c r="E13" s="15" t="s">
        <v>480</v>
      </c>
      <c r="F13" s="19" t="s">
        <v>37</v>
      </c>
    </row>
    <row r="14" customFormat="false" ht="23.85" hidden="false" customHeight="false" outlineLevel="0" collapsed="false">
      <c r="A14" s="15" t="n">
        <v>10</v>
      </c>
      <c r="B14" s="15" t="s">
        <v>625</v>
      </c>
      <c r="C14" s="15" t="s">
        <v>626</v>
      </c>
      <c r="D14" s="15" t="s">
        <v>460</v>
      </c>
      <c r="E14" s="15" t="s">
        <v>466</v>
      </c>
      <c r="F14" s="19" t="s">
        <v>37</v>
      </c>
    </row>
    <row r="15" customFormat="false" ht="23.85" hidden="false" customHeight="false" outlineLevel="0" collapsed="false">
      <c r="A15" s="15" t="n">
        <v>11</v>
      </c>
      <c r="B15" s="15" t="s">
        <v>627</v>
      </c>
      <c r="C15" s="15" t="s">
        <v>628</v>
      </c>
      <c r="D15" s="15" t="s">
        <v>629</v>
      </c>
      <c r="E15" s="15" t="s">
        <v>480</v>
      </c>
      <c r="F15" s="19" t="s">
        <v>37</v>
      </c>
    </row>
    <row r="16" customFormat="false" ht="15" hidden="false" customHeight="false" outlineLevel="0" collapsed="false">
      <c r="A16" s="15" t="n">
        <v>12</v>
      </c>
      <c r="B16" s="15" t="s">
        <v>630</v>
      </c>
      <c r="C16" s="15" t="s">
        <v>631</v>
      </c>
      <c r="D16" s="15" t="s">
        <v>632</v>
      </c>
      <c r="E16" s="15" t="s">
        <v>466</v>
      </c>
      <c r="F16" s="19" t="s">
        <v>37</v>
      </c>
    </row>
    <row r="17" customFormat="false" ht="23.85" hidden="false" customHeight="false" outlineLevel="0" collapsed="false">
      <c r="A17" s="15" t="n">
        <v>13</v>
      </c>
      <c r="B17" s="15" t="s">
        <v>633</v>
      </c>
      <c r="C17" s="15" t="s">
        <v>634</v>
      </c>
      <c r="D17" s="15" t="s">
        <v>635</v>
      </c>
      <c r="E17" s="15" t="s">
        <v>480</v>
      </c>
      <c r="F17" s="19" t="s">
        <v>37</v>
      </c>
    </row>
    <row r="18" customFormat="false" ht="23.85" hidden="false" customHeight="false" outlineLevel="0" collapsed="false">
      <c r="A18" s="15" t="n">
        <v>14</v>
      </c>
      <c r="B18" s="15" t="s">
        <v>636</v>
      </c>
      <c r="C18" s="15" t="s">
        <v>616</v>
      </c>
      <c r="D18" s="15" t="s">
        <v>637</v>
      </c>
      <c r="E18" s="15" t="s">
        <v>638</v>
      </c>
      <c r="F18" s="19" t="s">
        <v>570</v>
      </c>
    </row>
    <row r="19" customFormat="false" ht="15" hidden="false" customHeight="false" outlineLevel="0" collapsed="false">
      <c r="A19" s="15" t="n">
        <v>15</v>
      </c>
      <c r="B19" s="15" t="s">
        <v>639</v>
      </c>
      <c r="C19" s="15" t="s">
        <v>640</v>
      </c>
      <c r="D19" s="15" t="s">
        <v>641</v>
      </c>
      <c r="E19" s="15" t="s">
        <v>508</v>
      </c>
      <c r="F19" s="19" t="s">
        <v>37</v>
      </c>
    </row>
    <row r="20" customFormat="false" ht="35.05" hidden="false" customHeight="false" outlineLevel="0" collapsed="false">
      <c r="A20" s="15" t="n">
        <v>16</v>
      </c>
      <c r="B20" s="15" t="s">
        <v>642</v>
      </c>
      <c r="C20" s="15" t="s">
        <v>643</v>
      </c>
      <c r="D20" s="15" t="s">
        <v>644</v>
      </c>
      <c r="E20" s="15" t="s">
        <v>645</v>
      </c>
      <c r="F20" s="19" t="s">
        <v>37</v>
      </c>
    </row>
  </sheetData>
  <mergeCells count="1">
    <mergeCell ref="A2:F2"/>
  </mergeCells>
  <conditionalFormatting sqref="F5:F50">
    <cfRule type="cellIs" priority="2" operator="equal" aboveAverage="0" equalAverage="0" bottom="0" percent="0" rank="0" text="" dxfId="10">
      <formula>"À valider"</formula>
    </cfRule>
    <cfRule type="cellIs" priority="3" operator="equal" aboveAverage="0" equalAverage="0" bottom="0" percent="0" rank="0" text="" dxfId="9">
      <formula>"À tester"</formula>
    </cfRule>
    <cfRule type="cellIs" priority="4" operator="equal" aboveAverage="0" equalAverage="0" bottom="0" percent="0" rank="0" text="" dxfId="11">
      <formula>"Validé"</formula>
    </cfRule>
    <cfRule type="cellIs" priority="5" operator="equal" aboveAverage="0" equalAverage="0" bottom="0" percent="0" rank="0" text="" dxfId="12">
      <formula>"Rejeté"</formula>
    </cfRule>
    <cfRule type="cellIs" priority="6" operator="equal" aboveAverage="0" equalAverage="0" bottom="0" percent="0" rank="0" text="" dxfId="8">
      <formula>"À rechercher"</formula>
    </cfRule>
  </conditionalFormatting>
  <dataValidations count="1">
    <dataValidation allowBlank="false" errorStyle="stop" operator="between" showDropDown="false" showErrorMessage="false" showInputMessage="false" sqref="F5:F50" type="list">
      <formula1>"À valider,À tester,Validé,Rejeté,À rechercher"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34"/>
    <col collapsed="false" customWidth="true" hidden="false" outlineLevel="0" max="5" min="4" style="0" width="18"/>
  </cols>
  <sheetData>
    <row r="1" customFormat="false" ht="17.35" hidden="false" customHeight="false" outlineLevel="0" collapsed="false">
      <c r="A1" s="23" t="s">
        <v>646</v>
      </c>
    </row>
    <row r="2" customFormat="false" ht="48" hidden="false" customHeight="true" outlineLevel="0" collapsed="false">
      <c r="A2" s="37" t="s">
        <v>647</v>
      </c>
      <c r="B2" s="37"/>
      <c r="C2" s="37"/>
      <c r="D2" s="37"/>
      <c r="E2" s="37"/>
      <c r="F2" s="37"/>
    </row>
    <row r="3" customFormat="false" ht="15" hidden="false" customHeight="false" outlineLevel="0" collapsed="false">
      <c r="A3" s="8" t="s">
        <v>648</v>
      </c>
      <c r="B3" s="8" t="s">
        <v>53</v>
      </c>
      <c r="C3" s="8" t="s">
        <v>380</v>
      </c>
    </row>
    <row r="4" customFormat="false" ht="15" hidden="false" customHeight="false" outlineLevel="0" collapsed="false">
      <c r="A4" s="9" t="s">
        <v>649</v>
      </c>
      <c r="B4" s="27" t="n">
        <v>3000</v>
      </c>
      <c r="C4" s="9" t="s">
        <v>650</v>
      </c>
    </row>
    <row r="5" customFormat="false" ht="15" hidden="false" customHeight="false" outlineLevel="0" collapsed="false">
      <c r="A5" s="9" t="s">
        <v>651</v>
      </c>
      <c r="B5" s="27" t="n">
        <v>6000</v>
      </c>
      <c r="C5" s="9" t="s">
        <v>650</v>
      </c>
    </row>
    <row r="6" customFormat="false" ht="15" hidden="false" customHeight="false" outlineLevel="0" collapsed="false">
      <c r="A6" s="9" t="s">
        <v>652</v>
      </c>
      <c r="B6" s="38" t="n">
        <v>30</v>
      </c>
      <c r="C6" s="9" t="s">
        <v>653</v>
      </c>
    </row>
    <row r="7" customFormat="false" ht="15" hidden="false" customHeight="false" outlineLevel="0" collapsed="false">
      <c r="A7" s="9" t="s">
        <v>654</v>
      </c>
      <c r="B7" s="38" t="n">
        <v>10</v>
      </c>
      <c r="C7" s="9" t="s">
        <v>655</v>
      </c>
    </row>
    <row r="8" customFormat="false" ht="15" hidden="false" customHeight="false" outlineLevel="0" collapsed="false">
      <c r="A8" s="9" t="s">
        <v>656</v>
      </c>
      <c r="B8" s="39" t="n">
        <v>0.14</v>
      </c>
      <c r="C8" s="9" t="s">
        <v>657</v>
      </c>
    </row>
    <row r="9" customFormat="false" ht="15" hidden="false" customHeight="false" outlineLevel="0" collapsed="false">
      <c r="A9" s="9" t="s">
        <v>658</v>
      </c>
      <c r="B9" s="39" t="n">
        <v>0.28</v>
      </c>
      <c r="C9" s="9" t="s">
        <v>659</v>
      </c>
    </row>
    <row r="10" customFormat="false" ht="15" hidden="false" customHeight="false" outlineLevel="0" collapsed="false">
      <c r="A10" s="9" t="s">
        <v>660</v>
      </c>
      <c r="B10" s="39" t="n">
        <v>0.22</v>
      </c>
      <c r="C10" s="9" t="s">
        <v>661</v>
      </c>
    </row>
    <row r="11" customFormat="false" ht="15" hidden="false" customHeight="false" outlineLevel="0" collapsed="false">
      <c r="A11" s="9" t="s">
        <v>662</v>
      </c>
      <c r="B11" s="39" t="n">
        <v>0.66</v>
      </c>
      <c r="C11" s="9" t="s">
        <v>659</v>
      </c>
    </row>
    <row r="12" customFormat="false" ht="15" hidden="false" customHeight="false" outlineLevel="0" collapsed="false">
      <c r="A12" s="9" t="s">
        <v>663</v>
      </c>
      <c r="B12" s="27" t="n">
        <v>1500</v>
      </c>
      <c r="C12" s="9" t="s">
        <v>664</v>
      </c>
    </row>
    <row r="13" customFormat="false" ht="15" hidden="false" customHeight="false" outlineLevel="0" collapsed="false">
      <c r="A13" s="9" t="s">
        <v>665</v>
      </c>
      <c r="B13" s="27" t="n">
        <v>500</v>
      </c>
      <c r="C13" s="9" t="s">
        <v>666</v>
      </c>
    </row>
    <row r="14" customFormat="false" ht="15" hidden="false" customHeight="false" outlineLevel="0" collapsed="false">
      <c r="A14" s="9" t="s">
        <v>667</v>
      </c>
      <c r="B14" s="27" t="n">
        <v>3500</v>
      </c>
      <c r="C14" s="9" t="s">
        <v>668</v>
      </c>
    </row>
    <row r="15" customFormat="false" ht="15" hidden="false" customHeight="false" outlineLevel="0" collapsed="false">
      <c r="A15" s="9" t="s">
        <v>669</v>
      </c>
      <c r="B15" s="27" t="n">
        <v>600</v>
      </c>
      <c r="C15" s="9" t="s">
        <v>670</v>
      </c>
    </row>
    <row r="16" customFormat="false" ht="15" hidden="false" customHeight="false" outlineLevel="0" collapsed="false">
      <c r="A16" s="9" t="s">
        <v>671</v>
      </c>
      <c r="B16" s="27" t="n">
        <v>125</v>
      </c>
      <c r="C16" s="9" t="s">
        <v>672</v>
      </c>
    </row>
    <row r="17" customFormat="false" ht="15" hidden="false" customHeight="false" outlineLevel="0" collapsed="false">
      <c r="A17" s="40" t="s">
        <v>673</v>
      </c>
      <c r="B17" s="41" t="n">
        <f aca="false">(B12*B8+B13*B9)/1000000</f>
        <v>0.00035</v>
      </c>
    </row>
    <row r="18" customFormat="false" ht="15" hidden="false" customHeight="false" outlineLevel="0" collapsed="false">
      <c r="A18" s="40" t="s">
        <v>674</v>
      </c>
      <c r="B18" s="41" t="n">
        <f aca="false">(B14*B10+B15*B11)/1000000</f>
        <v>0.001166</v>
      </c>
    </row>
    <row r="20" customFormat="false" ht="15" hidden="false" customHeight="false" outlineLevel="0" collapsed="false">
      <c r="A20" s="8" t="s">
        <v>675</v>
      </c>
      <c r="B20" s="8" t="s">
        <v>676</v>
      </c>
      <c r="C20" s="8" t="s">
        <v>677</v>
      </c>
      <c r="D20" s="8" t="s">
        <v>678</v>
      </c>
      <c r="E20" s="8" t="s">
        <v>679</v>
      </c>
    </row>
    <row r="21" customFormat="false" ht="15" hidden="false" customHeight="false" outlineLevel="0" collapsed="false">
      <c r="A21" s="15" t="s">
        <v>680</v>
      </c>
      <c r="B21" s="42" t="n">
        <v>0.4</v>
      </c>
      <c r="C21" s="42" t="n">
        <v>0.7</v>
      </c>
      <c r="D21" s="42" t="n">
        <v>0.4</v>
      </c>
      <c r="E21" s="42" t="n">
        <v>0.7</v>
      </c>
    </row>
    <row r="22" customFormat="false" ht="15" hidden="false" customHeight="false" outlineLevel="0" collapsed="false">
      <c r="A22" s="15" t="s">
        <v>681</v>
      </c>
      <c r="B22" s="43" t="n">
        <v>8</v>
      </c>
      <c r="C22" s="43" t="n">
        <v>15</v>
      </c>
      <c r="D22" s="43" t="n">
        <v>8</v>
      </c>
      <c r="E22" s="43" t="n">
        <v>15</v>
      </c>
    </row>
    <row r="23" customFormat="false" ht="15" hidden="false" customHeight="false" outlineLevel="0" collapsed="false">
      <c r="A23" s="15" t="s">
        <v>682</v>
      </c>
      <c r="B23" s="42" t="n">
        <v>0.25</v>
      </c>
      <c r="C23" s="42" t="n">
        <v>0.4</v>
      </c>
      <c r="D23" s="42" t="n">
        <v>0.25</v>
      </c>
      <c r="E23" s="42" t="n">
        <v>0.4</v>
      </c>
    </row>
    <row r="24" customFormat="false" ht="15" hidden="false" customHeight="false" outlineLevel="0" collapsed="false">
      <c r="A24" s="15" t="s">
        <v>683</v>
      </c>
      <c r="B24" s="42" t="n">
        <v>0</v>
      </c>
      <c r="C24" s="42" t="n">
        <v>0</v>
      </c>
      <c r="D24" s="42" t="n">
        <v>0.6</v>
      </c>
      <c r="E24" s="42" t="n">
        <v>0.5</v>
      </c>
    </row>
    <row r="25" customFormat="false" ht="15" hidden="false" customHeight="false" outlineLevel="0" collapsed="false">
      <c r="A25" s="15" t="s">
        <v>684</v>
      </c>
      <c r="B25" s="42" t="n">
        <v>0</v>
      </c>
      <c r="C25" s="42" t="n">
        <v>0</v>
      </c>
      <c r="D25" s="42" t="n">
        <v>0.4</v>
      </c>
      <c r="E25" s="42" t="n">
        <v>0.4</v>
      </c>
    </row>
    <row r="26" customFormat="false" ht="15" hidden="false" customHeight="false" outlineLevel="0" collapsed="false">
      <c r="A26" s="44" t="s">
        <v>685</v>
      </c>
      <c r="B26" s="45" t="n">
        <f aca="false">((1-B23)*$B$17+B23*$B$18)*(1-B24)*(1-B25)</f>
        <v>0.000554</v>
      </c>
      <c r="C26" s="45" t="n">
        <f aca="false">((1-C23)*$B$17+C23*$B$18)*(1-C24)*(1-C25)</f>
        <v>0.0006764</v>
      </c>
      <c r="D26" s="45" t="n">
        <f aca="false">((1-D23)*$B$17+D23*$B$18)*(1-D24)*(1-D25)</f>
        <v>0.00013296</v>
      </c>
      <c r="E26" s="45" t="n">
        <f aca="false">((1-E23)*$B$17+E23*$B$18)*(1-E24)*(1-E25)</f>
        <v>0.00020292</v>
      </c>
    </row>
    <row r="27" customFormat="false" ht="15" hidden="false" customHeight="false" outlineLevel="0" collapsed="false">
      <c r="A27" s="44" t="s">
        <v>686</v>
      </c>
      <c r="B27" s="46" t="n">
        <f aca="false">$B$4*B21*B22</f>
        <v>9600</v>
      </c>
      <c r="C27" s="46" t="n">
        <f aca="false">$B$4*C21*C22</f>
        <v>31500</v>
      </c>
      <c r="D27" s="46" t="n">
        <f aca="false">$B$4*D21*D22</f>
        <v>9600</v>
      </c>
      <c r="E27" s="46" t="n">
        <f aca="false">$B$4*E21*E22</f>
        <v>31500</v>
      </c>
    </row>
    <row r="28" customFormat="false" ht="15" hidden="false" customHeight="false" outlineLevel="0" collapsed="false">
      <c r="A28" s="44" t="s">
        <v>687</v>
      </c>
      <c r="B28" s="46" t="n">
        <f aca="false">$B$5*B21*B22</f>
        <v>19200</v>
      </c>
      <c r="C28" s="46" t="n">
        <f aca="false">$B$5*C21*C22</f>
        <v>63000</v>
      </c>
      <c r="D28" s="46" t="n">
        <f aca="false">$B$5*D21*D22</f>
        <v>19200</v>
      </c>
      <c r="E28" s="46" t="n">
        <f aca="false">$B$5*E21*E22</f>
        <v>63000</v>
      </c>
    </row>
    <row r="29" customFormat="false" ht="15" hidden="false" customHeight="false" outlineLevel="0" collapsed="false">
      <c r="A29" s="44" t="s">
        <v>688</v>
      </c>
      <c r="B29" s="46" t="n">
        <f aca="false">B27*B26*$B$6</f>
        <v>159.552</v>
      </c>
      <c r="C29" s="46" t="n">
        <f aca="false">C27*C26*$B$6</f>
        <v>639.198</v>
      </c>
      <c r="D29" s="46" t="n">
        <f aca="false">D27*D26*$B$6</f>
        <v>38.29248</v>
      </c>
      <c r="E29" s="46" t="n">
        <f aca="false">E27*E26*$B$6</f>
        <v>191.7594</v>
      </c>
    </row>
    <row r="30" customFormat="false" ht="15" hidden="false" customHeight="false" outlineLevel="0" collapsed="false">
      <c r="A30" s="44" t="s">
        <v>689</v>
      </c>
      <c r="B30" s="46" t="n">
        <f aca="false">B28*B26*$B$6</f>
        <v>319.104</v>
      </c>
      <c r="C30" s="46" t="n">
        <f aca="false">C28*C26*$B$6</f>
        <v>1278.396</v>
      </c>
      <c r="D30" s="46" t="n">
        <f aca="false">D28*D26*$B$6</f>
        <v>76.58496</v>
      </c>
      <c r="E30" s="46" t="n">
        <f aca="false">E28*E26*$B$6</f>
        <v>383.5188</v>
      </c>
    </row>
    <row r="31" customFormat="false" ht="15" hidden="false" customHeight="false" outlineLevel="0" collapsed="false">
      <c r="A31" s="44" t="s">
        <v>690</v>
      </c>
      <c r="B31" s="46" t="n">
        <f aca="false">B29+$B$16</f>
        <v>284.552</v>
      </c>
      <c r="C31" s="46" t="n">
        <f aca="false">C29+$B$16</f>
        <v>764.198</v>
      </c>
      <c r="D31" s="46" t="n">
        <f aca="false">D29+$B$16</f>
        <v>163.29248</v>
      </c>
      <c r="E31" s="46" t="n">
        <f aca="false">E29+$B$16</f>
        <v>316.7594</v>
      </c>
    </row>
    <row r="32" customFormat="false" ht="15" hidden="false" customHeight="false" outlineLevel="0" collapsed="false">
      <c r="A32" s="44" t="s">
        <v>691</v>
      </c>
      <c r="B32" s="46" t="n">
        <f aca="false">B30+$B$16</f>
        <v>444.104</v>
      </c>
      <c r="C32" s="46" t="n">
        <f aca="false">C30+$B$16</f>
        <v>1403.396</v>
      </c>
      <c r="D32" s="46" t="n">
        <f aca="false">D30+$B$16</f>
        <v>201.58496</v>
      </c>
      <c r="E32" s="46" t="n">
        <f aca="false">E30+$B$16</f>
        <v>508.5188</v>
      </c>
    </row>
    <row r="33" customFormat="false" ht="15" hidden="false" customHeight="false" outlineLevel="0" collapsed="false">
      <c r="A33" s="44" t="s">
        <v>692</v>
      </c>
      <c r="B33" s="46" t="n">
        <f aca="false">B29*$B$7+$B$16*12</f>
        <v>3095.52</v>
      </c>
      <c r="C33" s="46" t="n">
        <f aca="false">C29*$B$7+$B$16*12</f>
        <v>7891.98</v>
      </c>
      <c r="D33" s="46" t="n">
        <f aca="false">D29*$B$7+$B$16*12</f>
        <v>1882.9248</v>
      </c>
      <c r="E33" s="46" t="n">
        <f aca="false">E29*$B$7+$B$16*12</f>
        <v>3417.594</v>
      </c>
    </row>
    <row r="34" customFormat="false" ht="15" hidden="false" customHeight="false" outlineLevel="0" collapsed="false">
      <c r="A34" s="44" t="s">
        <v>693</v>
      </c>
      <c r="B34" s="46" t="n">
        <f aca="false">B30*$B$7+$B$16*12</f>
        <v>4691.04</v>
      </c>
      <c r="C34" s="46" t="n">
        <f aca="false">C30*$B$7+$B$16*12</f>
        <v>14283.96</v>
      </c>
      <c r="D34" s="46" t="n">
        <f aca="false">D30*$B$7+$B$16*12</f>
        <v>2265.8496</v>
      </c>
      <c r="E34" s="46" t="n">
        <f aca="false">E30*$B$7+$B$16*12</f>
        <v>5335.188</v>
      </c>
    </row>
    <row r="35" customFormat="false" ht="15" hidden="false" customHeight="false" outlineLevel="0" collapsed="false">
      <c r="A35" s="44" t="s">
        <v>694</v>
      </c>
      <c r="B35" s="47" t="n">
        <f aca="false">B33/$B$4</f>
        <v>1.03184</v>
      </c>
      <c r="C35" s="47" t="n">
        <f aca="false">C33/$B$4</f>
        <v>2.63066</v>
      </c>
      <c r="D35" s="47" t="n">
        <f aca="false">D33/$B$4</f>
        <v>0.6276416</v>
      </c>
      <c r="E35" s="47" t="n">
        <f aca="false">E33/$B$4</f>
        <v>1.139198</v>
      </c>
    </row>
    <row r="36" customFormat="false" ht="15" hidden="false" customHeight="false" outlineLevel="0" collapsed="false">
      <c r="A36" s="44" t="s">
        <v>695</v>
      </c>
      <c r="B36" s="47" t="n">
        <f aca="false">B34/$B$5</f>
        <v>0.78184</v>
      </c>
      <c r="C36" s="47" t="n">
        <f aca="false">C34/$B$5</f>
        <v>2.38066</v>
      </c>
      <c r="D36" s="47" t="n">
        <f aca="false">D34/$B$5</f>
        <v>0.3776416</v>
      </c>
      <c r="E36" s="47" t="n">
        <f aca="false">E34/$B$5</f>
        <v>0.889198</v>
      </c>
    </row>
    <row r="38" customFormat="false" ht="15" hidden="false" customHeight="false" outlineLevel="0" collapsed="false">
      <c r="A38" s="2" t="s">
        <v>696</v>
      </c>
    </row>
    <row r="39" customFormat="false" ht="15" hidden="false" customHeight="false" outlineLevel="0" collapsed="false">
      <c r="A39" s="2" t="s">
        <v>697</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2026-10-01T01:58:54Z</dcterms:created>
  <dc:creator>openpyxl</dc:creator>
  <dc:description/>
  <dc:language>en-US</dc:language>
  <cp:lastModifiedBy/>
  <dcterms:modified xsi:type="dcterms:W3CDTF">2026-10-01T01:58:58Z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